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C\Downloads\Bayelsa Tech Hub\Charles Project - GrandVista\My Portfolio Project\ApexLink\"/>
    </mc:Choice>
  </mc:AlternateContent>
  <xr:revisionPtr revIDLastSave="0" documentId="13_ncr:1_{E2C05823-99DD-494B-8F56-ADE6599731BE}" xr6:coauthVersionLast="47" xr6:coauthVersionMax="47" xr10:uidLastSave="{00000000-0000-0000-0000-000000000000}"/>
  <bookViews>
    <workbookView xWindow="-110" yWindow="-110" windowWidth="19420" windowHeight="10300" activeTab="2" xr2:uid="{0FA0127B-F884-4E63-A404-D46599236795}"/>
  </bookViews>
  <sheets>
    <sheet name="Raw Dataset" sheetId="1" r:id="rId1"/>
    <sheet name="Cleaned Dataset" sheetId="2" r:id="rId2"/>
    <sheet name="Statistics" sheetId="4" r:id="rId3"/>
    <sheet name="Dashboard View" sheetId="5" r:id="rId4"/>
  </sheets>
  <definedNames>
    <definedName name="_xlnm._FilterDatabase" localSheetId="1" hidden="1">'Cleaned Dataset'!$A$1:$P$501</definedName>
    <definedName name="btn">Statistics!$CJ$14</definedName>
    <definedName name="Slicer_Customer_Region">#N/A</definedName>
    <definedName name="Slicer_Order_Status">#N/A</definedName>
    <definedName name="Slicer_Warehous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B20" i="4"/>
  <c r="DL21" i="4" a="1"/>
  <c r="DO15" i="4"/>
  <c r="DO16" i="4"/>
  <c r="DO14" i="4"/>
  <c r="AK23" i="4" a="1"/>
  <c r="EG21" i="4" a="1"/>
  <c r="DU22" i="4" a="1"/>
  <c r="CS25" i="4" a="1"/>
  <c r="CV26" i="4" s="1"/>
  <c r="CL32" i="4"/>
  <c r="CF32" i="4"/>
  <c r="CI32" i="4" s="1"/>
  <c r="CF33" i="4"/>
  <c r="CI33" i="4" s="1"/>
  <c r="CF34" i="4"/>
  <c r="CI34" i="4" s="1"/>
  <c r="CF35" i="4"/>
  <c r="CI35" i="4" s="1"/>
  <c r="CF36" i="4"/>
  <c r="CI36" i="4" s="1"/>
  <c r="CF37" i="4"/>
  <c r="CI37" i="4" s="1"/>
  <c r="CF38" i="4"/>
  <c r="CI38" i="4" s="1"/>
  <c r="CF39" i="4"/>
  <c r="CI39" i="4" s="1"/>
  <c r="CF40" i="4"/>
  <c r="CI40" i="4" s="1"/>
  <c r="CF41" i="4"/>
  <c r="CI41" i="4" s="1"/>
  <c r="CF42" i="4"/>
  <c r="CI42" i="4" s="1"/>
  <c r="CF43" i="4"/>
  <c r="CI43" i="4" s="1"/>
  <c r="CF31" i="4"/>
  <c r="CE31" i="4" a="1"/>
  <c r="AV37" i="4" a="1"/>
  <c r="AV48" i="4" s="1"/>
  <c r="AV32" i="4" a="1"/>
  <c r="AV45" i="4" s="1"/>
  <c r="AT32" i="4" a="1"/>
  <c r="AT37" i="4" a="1"/>
  <c r="B41" i="4" a="1"/>
  <c r="B30" i="4" a="1"/>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D3" i="2"/>
  <c r="G3" i="2" s="1"/>
  <c r="H3" i="2" s="1"/>
  <c r="D4" i="2"/>
  <c r="G4" i="2" s="1"/>
  <c r="H4" i="2" s="1"/>
  <c r="D5" i="2"/>
  <c r="G5" i="2" s="1"/>
  <c r="H5" i="2" s="1"/>
  <c r="D6" i="2"/>
  <c r="G6" i="2" s="1"/>
  <c r="H6" i="2" s="1"/>
  <c r="D7" i="2"/>
  <c r="G7" i="2" s="1"/>
  <c r="H7" i="2" s="1"/>
  <c r="D8" i="2"/>
  <c r="G8" i="2" s="1"/>
  <c r="H8" i="2" s="1"/>
  <c r="D9" i="2"/>
  <c r="G9" i="2" s="1"/>
  <c r="H9" i="2" s="1"/>
  <c r="D10" i="2"/>
  <c r="G10" i="2" s="1"/>
  <c r="H10" i="2" s="1"/>
  <c r="D11" i="2"/>
  <c r="G11" i="2" s="1"/>
  <c r="H11" i="2" s="1"/>
  <c r="D12" i="2"/>
  <c r="G12" i="2" s="1"/>
  <c r="H12" i="2" s="1"/>
  <c r="D13" i="2"/>
  <c r="G13" i="2" s="1"/>
  <c r="H13" i="2" s="1"/>
  <c r="D14" i="2"/>
  <c r="G14" i="2" s="1"/>
  <c r="H14" i="2" s="1"/>
  <c r="D15" i="2"/>
  <c r="G15" i="2" s="1"/>
  <c r="H15" i="2" s="1"/>
  <c r="D16" i="2"/>
  <c r="G16" i="2" s="1"/>
  <c r="H16" i="2" s="1"/>
  <c r="D17" i="2"/>
  <c r="G17" i="2" s="1"/>
  <c r="H17" i="2" s="1"/>
  <c r="D18" i="2"/>
  <c r="G18" i="2" s="1"/>
  <c r="H18" i="2" s="1"/>
  <c r="D19" i="2"/>
  <c r="G19" i="2" s="1"/>
  <c r="H19" i="2" s="1"/>
  <c r="D20" i="2"/>
  <c r="G20" i="2" s="1"/>
  <c r="H20" i="2" s="1"/>
  <c r="D21" i="2"/>
  <c r="G21" i="2" s="1"/>
  <c r="H21" i="2" s="1"/>
  <c r="D22" i="2"/>
  <c r="G22" i="2" s="1"/>
  <c r="H22" i="2" s="1"/>
  <c r="D23" i="2"/>
  <c r="G23" i="2" s="1"/>
  <c r="H23" i="2" s="1"/>
  <c r="D24" i="2"/>
  <c r="G24" i="2" s="1"/>
  <c r="H24" i="2" s="1"/>
  <c r="D25" i="2"/>
  <c r="G25" i="2" s="1"/>
  <c r="H25" i="2" s="1"/>
  <c r="D26" i="2"/>
  <c r="G26" i="2" s="1"/>
  <c r="H26" i="2" s="1"/>
  <c r="D27" i="2"/>
  <c r="G27" i="2" s="1"/>
  <c r="H27" i="2" s="1"/>
  <c r="D28" i="2"/>
  <c r="G28" i="2" s="1"/>
  <c r="H28" i="2" s="1"/>
  <c r="D29" i="2"/>
  <c r="G29" i="2" s="1"/>
  <c r="H29" i="2" s="1"/>
  <c r="D30" i="2"/>
  <c r="G30" i="2" s="1"/>
  <c r="H30" i="2" s="1"/>
  <c r="D31" i="2"/>
  <c r="G31" i="2" s="1"/>
  <c r="H31" i="2" s="1"/>
  <c r="D32" i="2"/>
  <c r="G32" i="2" s="1"/>
  <c r="H32" i="2" s="1"/>
  <c r="D33" i="2"/>
  <c r="G33" i="2" s="1"/>
  <c r="H33" i="2" s="1"/>
  <c r="D34" i="2"/>
  <c r="G34" i="2" s="1"/>
  <c r="H34" i="2" s="1"/>
  <c r="D35" i="2"/>
  <c r="G35" i="2" s="1"/>
  <c r="H35" i="2" s="1"/>
  <c r="D36" i="2"/>
  <c r="G36" i="2" s="1"/>
  <c r="H36" i="2" s="1"/>
  <c r="D37" i="2"/>
  <c r="G37" i="2" s="1"/>
  <c r="H37" i="2" s="1"/>
  <c r="D38" i="2"/>
  <c r="G38" i="2" s="1"/>
  <c r="H38" i="2" s="1"/>
  <c r="D39" i="2"/>
  <c r="G39" i="2" s="1"/>
  <c r="H39" i="2" s="1"/>
  <c r="D40" i="2"/>
  <c r="G40" i="2" s="1"/>
  <c r="H40" i="2" s="1"/>
  <c r="D41" i="2"/>
  <c r="G41" i="2" s="1"/>
  <c r="H41" i="2" s="1"/>
  <c r="D42" i="2"/>
  <c r="G42" i="2" s="1"/>
  <c r="H42" i="2" s="1"/>
  <c r="D43" i="2"/>
  <c r="G43" i="2" s="1"/>
  <c r="H43" i="2" s="1"/>
  <c r="D44" i="2"/>
  <c r="G44" i="2" s="1"/>
  <c r="H44" i="2" s="1"/>
  <c r="D45" i="2"/>
  <c r="G45" i="2" s="1"/>
  <c r="H45" i="2" s="1"/>
  <c r="D46" i="2"/>
  <c r="G46" i="2" s="1"/>
  <c r="H46" i="2" s="1"/>
  <c r="D47" i="2"/>
  <c r="G47" i="2" s="1"/>
  <c r="H47" i="2" s="1"/>
  <c r="D48" i="2"/>
  <c r="G48" i="2" s="1"/>
  <c r="H48" i="2" s="1"/>
  <c r="D49" i="2"/>
  <c r="G49" i="2" s="1"/>
  <c r="H49" i="2" s="1"/>
  <c r="D50" i="2"/>
  <c r="G50" i="2" s="1"/>
  <c r="H50" i="2" s="1"/>
  <c r="D51" i="2"/>
  <c r="G51" i="2" s="1"/>
  <c r="H51" i="2" s="1"/>
  <c r="D52" i="2"/>
  <c r="G52" i="2" s="1"/>
  <c r="H52" i="2" s="1"/>
  <c r="D53" i="2"/>
  <c r="G53" i="2" s="1"/>
  <c r="H53" i="2" s="1"/>
  <c r="D54" i="2"/>
  <c r="G54" i="2" s="1"/>
  <c r="H54" i="2" s="1"/>
  <c r="D55" i="2"/>
  <c r="G55" i="2" s="1"/>
  <c r="H55" i="2" s="1"/>
  <c r="D56" i="2"/>
  <c r="G56" i="2" s="1"/>
  <c r="H56" i="2" s="1"/>
  <c r="D57" i="2"/>
  <c r="G57" i="2" s="1"/>
  <c r="H57" i="2" s="1"/>
  <c r="D58" i="2"/>
  <c r="G58" i="2" s="1"/>
  <c r="H58" i="2" s="1"/>
  <c r="D59" i="2"/>
  <c r="G59" i="2" s="1"/>
  <c r="H59" i="2" s="1"/>
  <c r="D60" i="2"/>
  <c r="G60" i="2" s="1"/>
  <c r="H60" i="2" s="1"/>
  <c r="D61" i="2"/>
  <c r="G61" i="2" s="1"/>
  <c r="H61" i="2" s="1"/>
  <c r="D62" i="2"/>
  <c r="G62" i="2" s="1"/>
  <c r="H62" i="2" s="1"/>
  <c r="D63" i="2"/>
  <c r="G63" i="2" s="1"/>
  <c r="H63" i="2" s="1"/>
  <c r="D64" i="2"/>
  <c r="G64" i="2" s="1"/>
  <c r="H64" i="2" s="1"/>
  <c r="D65" i="2"/>
  <c r="G65" i="2" s="1"/>
  <c r="H65" i="2" s="1"/>
  <c r="D66" i="2"/>
  <c r="G66" i="2" s="1"/>
  <c r="H66" i="2" s="1"/>
  <c r="D67" i="2"/>
  <c r="G67" i="2" s="1"/>
  <c r="H67" i="2" s="1"/>
  <c r="D68" i="2"/>
  <c r="G68" i="2" s="1"/>
  <c r="H68" i="2" s="1"/>
  <c r="D69" i="2"/>
  <c r="G69" i="2" s="1"/>
  <c r="H69" i="2" s="1"/>
  <c r="D70" i="2"/>
  <c r="G70" i="2" s="1"/>
  <c r="H70" i="2" s="1"/>
  <c r="D71" i="2"/>
  <c r="G71" i="2" s="1"/>
  <c r="H71" i="2" s="1"/>
  <c r="D72" i="2"/>
  <c r="G72" i="2" s="1"/>
  <c r="H72" i="2" s="1"/>
  <c r="D73" i="2"/>
  <c r="G73" i="2" s="1"/>
  <c r="H73" i="2" s="1"/>
  <c r="D74" i="2"/>
  <c r="G74" i="2" s="1"/>
  <c r="H74" i="2" s="1"/>
  <c r="D75" i="2"/>
  <c r="G75" i="2" s="1"/>
  <c r="H75" i="2" s="1"/>
  <c r="D76" i="2"/>
  <c r="G76" i="2" s="1"/>
  <c r="H76" i="2" s="1"/>
  <c r="D77" i="2"/>
  <c r="G77" i="2" s="1"/>
  <c r="H77" i="2" s="1"/>
  <c r="D78" i="2"/>
  <c r="G78" i="2" s="1"/>
  <c r="H78" i="2" s="1"/>
  <c r="D79" i="2"/>
  <c r="G79" i="2" s="1"/>
  <c r="H79" i="2" s="1"/>
  <c r="D80" i="2"/>
  <c r="G80" i="2" s="1"/>
  <c r="H80" i="2" s="1"/>
  <c r="D81" i="2"/>
  <c r="G81" i="2" s="1"/>
  <c r="H81" i="2" s="1"/>
  <c r="D82" i="2"/>
  <c r="G82" i="2" s="1"/>
  <c r="H82" i="2" s="1"/>
  <c r="D83" i="2"/>
  <c r="G83" i="2" s="1"/>
  <c r="H83" i="2" s="1"/>
  <c r="D84" i="2"/>
  <c r="G84" i="2" s="1"/>
  <c r="H84" i="2" s="1"/>
  <c r="D85" i="2"/>
  <c r="G85" i="2" s="1"/>
  <c r="H85" i="2" s="1"/>
  <c r="D86" i="2"/>
  <c r="G86" i="2" s="1"/>
  <c r="H86" i="2" s="1"/>
  <c r="D87" i="2"/>
  <c r="G87" i="2" s="1"/>
  <c r="H87" i="2" s="1"/>
  <c r="D88" i="2"/>
  <c r="G88" i="2" s="1"/>
  <c r="H88" i="2" s="1"/>
  <c r="D89" i="2"/>
  <c r="G89" i="2" s="1"/>
  <c r="H89" i="2" s="1"/>
  <c r="D90" i="2"/>
  <c r="G90" i="2" s="1"/>
  <c r="H90" i="2" s="1"/>
  <c r="D91" i="2"/>
  <c r="G91" i="2" s="1"/>
  <c r="H91" i="2" s="1"/>
  <c r="D92" i="2"/>
  <c r="G92" i="2" s="1"/>
  <c r="H92" i="2" s="1"/>
  <c r="D93" i="2"/>
  <c r="G93" i="2" s="1"/>
  <c r="H93" i="2" s="1"/>
  <c r="D94" i="2"/>
  <c r="G94" i="2" s="1"/>
  <c r="H94" i="2" s="1"/>
  <c r="D95" i="2"/>
  <c r="G95" i="2" s="1"/>
  <c r="H95" i="2" s="1"/>
  <c r="D96" i="2"/>
  <c r="G96" i="2" s="1"/>
  <c r="H96" i="2" s="1"/>
  <c r="D97" i="2"/>
  <c r="G97" i="2" s="1"/>
  <c r="H97" i="2" s="1"/>
  <c r="D98" i="2"/>
  <c r="G98" i="2" s="1"/>
  <c r="H98" i="2" s="1"/>
  <c r="D99" i="2"/>
  <c r="G99" i="2" s="1"/>
  <c r="H99" i="2" s="1"/>
  <c r="D100" i="2"/>
  <c r="G100" i="2" s="1"/>
  <c r="H100" i="2" s="1"/>
  <c r="D101" i="2"/>
  <c r="G101" i="2" s="1"/>
  <c r="H101" i="2" s="1"/>
  <c r="D102" i="2"/>
  <c r="G102" i="2" s="1"/>
  <c r="H102" i="2" s="1"/>
  <c r="D103" i="2"/>
  <c r="G103" i="2" s="1"/>
  <c r="H103" i="2" s="1"/>
  <c r="D104" i="2"/>
  <c r="G104" i="2" s="1"/>
  <c r="H104" i="2" s="1"/>
  <c r="D105" i="2"/>
  <c r="G105" i="2" s="1"/>
  <c r="H105" i="2" s="1"/>
  <c r="D106" i="2"/>
  <c r="G106" i="2" s="1"/>
  <c r="H106" i="2" s="1"/>
  <c r="D107" i="2"/>
  <c r="G107" i="2" s="1"/>
  <c r="H107" i="2" s="1"/>
  <c r="D108" i="2"/>
  <c r="G108" i="2" s="1"/>
  <c r="H108" i="2" s="1"/>
  <c r="D109" i="2"/>
  <c r="G109" i="2" s="1"/>
  <c r="H109" i="2" s="1"/>
  <c r="D110" i="2"/>
  <c r="G110" i="2" s="1"/>
  <c r="H110" i="2" s="1"/>
  <c r="D111" i="2"/>
  <c r="G111" i="2" s="1"/>
  <c r="H111" i="2" s="1"/>
  <c r="D112" i="2"/>
  <c r="G112" i="2" s="1"/>
  <c r="H112" i="2" s="1"/>
  <c r="D113" i="2"/>
  <c r="G113" i="2" s="1"/>
  <c r="H113" i="2" s="1"/>
  <c r="D114" i="2"/>
  <c r="G114" i="2" s="1"/>
  <c r="H114" i="2" s="1"/>
  <c r="D115" i="2"/>
  <c r="G115" i="2" s="1"/>
  <c r="H115" i="2" s="1"/>
  <c r="D116" i="2"/>
  <c r="G116" i="2" s="1"/>
  <c r="H116" i="2" s="1"/>
  <c r="D117" i="2"/>
  <c r="G117" i="2" s="1"/>
  <c r="H117" i="2" s="1"/>
  <c r="D118" i="2"/>
  <c r="G118" i="2" s="1"/>
  <c r="H118" i="2" s="1"/>
  <c r="D119" i="2"/>
  <c r="G119" i="2" s="1"/>
  <c r="H119" i="2" s="1"/>
  <c r="D120" i="2"/>
  <c r="G120" i="2" s="1"/>
  <c r="H120" i="2" s="1"/>
  <c r="D121" i="2"/>
  <c r="G121" i="2" s="1"/>
  <c r="H121" i="2" s="1"/>
  <c r="D122" i="2"/>
  <c r="G122" i="2" s="1"/>
  <c r="H122" i="2" s="1"/>
  <c r="D123" i="2"/>
  <c r="G123" i="2" s="1"/>
  <c r="H123" i="2" s="1"/>
  <c r="D124" i="2"/>
  <c r="G124" i="2" s="1"/>
  <c r="H124" i="2" s="1"/>
  <c r="D125" i="2"/>
  <c r="G125" i="2" s="1"/>
  <c r="H125" i="2" s="1"/>
  <c r="D126" i="2"/>
  <c r="G126" i="2" s="1"/>
  <c r="H126" i="2" s="1"/>
  <c r="D127" i="2"/>
  <c r="G127" i="2" s="1"/>
  <c r="H127" i="2" s="1"/>
  <c r="D128" i="2"/>
  <c r="G128" i="2" s="1"/>
  <c r="H128" i="2" s="1"/>
  <c r="D129" i="2"/>
  <c r="G129" i="2" s="1"/>
  <c r="H129" i="2" s="1"/>
  <c r="D130" i="2"/>
  <c r="G130" i="2" s="1"/>
  <c r="H130" i="2" s="1"/>
  <c r="D131" i="2"/>
  <c r="G131" i="2" s="1"/>
  <c r="H131" i="2" s="1"/>
  <c r="D132" i="2"/>
  <c r="G132" i="2" s="1"/>
  <c r="H132" i="2" s="1"/>
  <c r="D133" i="2"/>
  <c r="G133" i="2" s="1"/>
  <c r="H133" i="2" s="1"/>
  <c r="D134" i="2"/>
  <c r="G134" i="2" s="1"/>
  <c r="H134" i="2" s="1"/>
  <c r="D135" i="2"/>
  <c r="G135" i="2" s="1"/>
  <c r="H135" i="2" s="1"/>
  <c r="D136" i="2"/>
  <c r="G136" i="2" s="1"/>
  <c r="H136" i="2" s="1"/>
  <c r="D137" i="2"/>
  <c r="G137" i="2" s="1"/>
  <c r="H137" i="2" s="1"/>
  <c r="D138" i="2"/>
  <c r="G138" i="2" s="1"/>
  <c r="H138" i="2" s="1"/>
  <c r="D139" i="2"/>
  <c r="G139" i="2" s="1"/>
  <c r="H139" i="2" s="1"/>
  <c r="D140" i="2"/>
  <c r="G140" i="2" s="1"/>
  <c r="H140" i="2" s="1"/>
  <c r="D141" i="2"/>
  <c r="G141" i="2" s="1"/>
  <c r="H141" i="2" s="1"/>
  <c r="D142" i="2"/>
  <c r="G142" i="2" s="1"/>
  <c r="H142" i="2" s="1"/>
  <c r="D143" i="2"/>
  <c r="G143" i="2" s="1"/>
  <c r="H143" i="2" s="1"/>
  <c r="D144" i="2"/>
  <c r="G144" i="2" s="1"/>
  <c r="H144" i="2" s="1"/>
  <c r="D145" i="2"/>
  <c r="G145" i="2" s="1"/>
  <c r="H145" i="2" s="1"/>
  <c r="D146" i="2"/>
  <c r="G146" i="2" s="1"/>
  <c r="H146" i="2" s="1"/>
  <c r="D147" i="2"/>
  <c r="G147" i="2" s="1"/>
  <c r="H147" i="2" s="1"/>
  <c r="D148" i="2"/>
  <c r="G148" i="2" s="1"/>
  <c r="H148" i="2" s="1"/>
  <c r="D149" i="2"/>
  <c r="G149" i="2" s="1"/>
  <c r="H149" i="2" s="1"/>
  <c r="D150" i="2"/>
  <c r="G150" i="2" s="1"/>
  <c r="H150" i="2" s="1"/>
  <c r="D151" i="2"/>
  <c r="G151" i="2" s="1"/>
  <c r="H151" i="2" s="1"/>
  <c r="D152" i="2"/>
  <c r="G152" i="2" s="1"/>
  <c r="H152" i="2" s="1"/>
  <c r="D153" i="2"/>
  <c r="G153" i="2" s="1"/>
  <c r="H153" i="2" s="1"/>
  <c r="D154" i="2"/>
  <c r="G154" i="2" s="1"/>
  <c r="H154" i="2" s="1"/>
  <c r="D155" i="2"/>
  <c r="G155" i="2" s="1"/>
  <c r="H155" i="2" s="1"/>
  <c r="D156" i="2"/>
  <c r="G156" i="2" s="1"/>
  <c r="H156" i="2" s="1"/>
  <c r="D157" i="2"/>
  <c r="G157" i="2" s="1"/>
  <c r="H157" i="2" s="1"/>
  <c r="D158" i="2"/>
  <c r="G158" i="2" s="1"/>
  <c r="H158" i="2" s="1"/>
  <c r="D159" i="2"/>
  <c r="G159" i="2" s="1"/>
  <c r="H159" i="2" s="1"/>
  <c r="D160" i="2"/>
  <c r="G160" i="2" s="1"/>
  <c r="H160" i="2" s="1"/>
  <c r="D161" i="2"/>
  <c r="G161" i="2" s="1"/>
  <c r="H161" i="2" s="1"/>
  <c r="D162" i="2"/>
  <c r="G162" i="2" s="1"/>
  <c r="H162" i="2" s="1"/>
  <c r="D163" i="2"/>
  <c r="G163" i="2" s="1"/>
  <c r="H163" i="2" s="1"/>
  <c r="D164" i="2"/>
  <c r="G164" i="2" s="1"/>
  <c r="H164" i="2" s="1"/>
  <c r="D165" i="2"/>
  <c r="G165" i="2" s="1"/>
  <c r="H165" i="2" s="1"/>
  <c r="D166" i="2"/>
  <c r="G166" i="2" s="1"/>
  <c r="H166" i="2" s="1"/>
  <c r="D167" i="2"/>
  <c r="G167" i="2" s="1"/>
  <c r="H167" i="2" s="1"/>
  <c r="D168" i="2"/>
  <c r="G168" i="2" s="1"/>
  <c r="H168" i="2" s="1"/>
  <c r="D169" i="2"/>
  <c r="G169" i="2" s="1"/>
  <c r="H169" i="2" s="1"/>
  <c r="D170" i="2"/>
  <c r="G170" i="2" s="1"/>
  <c r="H170" i="2" s="1"/>
  <c r="D171" i="2"/>
  <c r="G171" i="2" s="1"/>
  <c r="H171" i="2" s="1"/>
  <c r="D172" i="2"/>
  <c r="G172" i="2" s="1"/>
  <c r="H172" i="2" s="1"/>
  <c r="D173" i="2"/>
  <c r="G173" i="2" s="1"/>
  <c r="H173" i="2" s="1"/>
  <c r="D174" i="2"/>
  <c r="G174" i="2" s="1"/>
  <c r="H174" i="2" s="1"/>
  <c r="D175" i="2"/>
  <c r="G175" i="2" s="1"/>
  <c r="H175" i="2" s="1"/>
  <c r="D176" i="2"/>
  <c r="G176" i="2" s="1"/>
  <c r="H176" i="2" s="1"/>
  <c r="D177" i="2"/>
  <c r="G177" i="2" s="1"/>
  <c r="H177" i="2" s="1"/>
  <c r="D178" i="2"/>
  <c r="G178" i="2" s="1"/>
  <c r="H178" i="2" s="1"/>
  <c r="D179" i="2"/>
  <c r="G179" i="2" s="1"/>
  <c r="H179" i="2" s="1"/>
  <c r="D180" i="2"/>
  <c r="G180" i="2" s="1"/>
  <c r="H180" i="2" s="1"/>
  <c r="D181" i="2"/>
  <c r="G181" i="2" s="1"/>
  <c r="H181" i="2" s="1"/>
  <c r="D182" i="2"/>
  <c r="G182" i="2" s="1"/>
  <c r="H182" i="2" s="1"/>
  <c r="D183" i="2"/>
  <c r="G183" i="2" s="1"/>
  <c r="H183" i="2" s="1"/>
  <c r="D184" i="2"/>
  <c r="G184" i="2" s="1"/>
  <c r="H184" i="2" s="1"/>
  <c r="D185" i="2"/>
  <c r="G185" i="2" s="1"/>
  <c r="H185" i="2" s="1"/>
  <c r="D186" i="2"/>
  <c r="G186" i="2" s="1"/>
  <c r="H186" i="2" s="1"/>
  <c r="D187" i="2"/>
  <c r="G187" i="2" s="1"/>
  <c r="H187" i="2" s="1"/>
  <c r="D188" i="2"/>
  <c r="G188" i="2" s="1"/>
  <c r="H188" i="2" s="1"/>
  <c r="D189" i="2"/>
  <c r="G189" i="2" s="1"/>
  <c r="H189" i="2" s="1"/>
  <c r="D190" i="2"/>
  <c r="G190" i="2" s="1"/>
  <c r="H190" i="2" s="1"/>
  <c r="D191" i="2"/>
  <c r="G191" i="2" s="1"/>
  <c r="H191" i="2" s="1"/>
  <c r="D192" i="2"/>
  <c r="G192" i="2" s="1"/>
  <c r="H192" i="2" s="1"/>
  <c r="D193" i="2"/>
  <c r="G193" i="2" s="1"/>
  <c r="H193" i="2" s="1"/>
  <c r="D194" i="2"/>
  <c r="G194" i="2" s="1"/>
  <c r="H194" i="2" s="1"/>
  <c r="D195" i="2"/>
  <c r="G195" i="2" s="1"/>
  <c r="H195" i="2" s="1"/>
  <c r="D196" i="2"/>
  <c r="G196" i="2" s="1"/>
  <c r="H196" i="2" s="1"/>
  <c r="D197" i="2"/>
  <c r="G197" i="2" s="1"/>
  <c r="H197" i="2" s="1"/>
  <c r="D198" i="2"/>
  <c r="G198" i="2" s="1"/>
  <c r="H198" i="2" s="1"/>
  <c r="D199" i="2"/>
  <c r="G199" i="2" s="1"/>
  <c r="H199" i="2" s="1"/>
  <c r="D200" i="2"/>
  <c r="G200" i="2" s="1"/>
  <c r="H200" i="2" s="1"/>
  <c r="D201" i="2"/>
  <c r="G201" i="2" s="1"/>
  <c r="H201" i="2" s="1"/>
  <c r="D202" i="2"/>
  <c r="G202" i="2" s="1"/>
  <c r="H202" i="2" s="1"/>
  <c r="D203" i="2"/>
  <c r="G203" i="2" s="1"/>
  <c r="H203" i="2" s="1"/>
  <c r="D204" i="2"/>
  <c r="G204" i="2" s="1"/>
  <c r="H204" i="2" s="1"/>
  <c r="D205" i="2"/>
  <c r="G205" i="2" s="1"/>
  <c r="H205" i="2" s="1"/>
  <c r="D206" i="2"/>
  <c r="G206" i="2" s="1"/>
  <c r="H206" i="2" s="1"/>
  <c r="D207" i="2"/>
  <c r="G207" i="2" s="1"/>
  <c r="H207" i="2" s="1"/>
  <c r="D208" i="2"/>
  <c r="G208" i="2" s="1"/>
  <c r="H208" i="2" s="1"/>
  <c r="D209" i="2"/>
  <c r="G209" i="2" s="1"/>
  <c r="H209" i="2" s="1"/>
  <c r="D210" i="2"/>
  <c r="G210" i="2" s="1"/>
  <c r="H210" i="2" s="1"/>
  <c r="D211" i="2"/>
  <c r="G211" i="2" s="1"/>
  <c r="H211" i="2" s="1"/>
  <c r="D212" i="2"/>
  <c r="G212" i="2" s="1"/>
  <c r="H212" i="2" s="1"/>
  <c r="D213" i="2"/>
  <c r="G213" i="2" s="1"/>
  <c r="H213" i="2" s="1"/>
  <c r="D214" i="2"/>
  <c r="G214" i="2" s="1"/>
  <c r="H214" i="2" s="1"/>
  <c r="D215" i="2"/>
  <c r="G215" i="2" s="1"/>
  <c r="H215" i="2" s="1"/>
  <c r="D216" i="2"/>
  <c r="G216" i="2" s="1"/>
  <c r="H216" i="2" s="1"/>
  <c r="D217" i="2"/>
  <c r="G217" i="2" s="1"/>
  <c r="H217" i="2" s="1"/>
  <c r="D218" i="2"/>
  <c r="G218" i="2" s="1"/>
  <c r="H218" i="2" s="1"/>
  <c r="D219" i="2"/>
  <c r="G219" i="2" s="1"/>
  <c r="H219" i="2" s="1"/>
  <c r="D220" i="2"/>
  <c r="G220" i="2" s="1"/>
  <c r="H220" i="2" s="1"/>
  <c r="D221" i="2"/>
  <c r="G221" i="2" s="1"/>
  <c r="H221" i="2" s="1"/>
  <c r="D222" i="2"/>
  <c r="G222" i="2" s="1"/>
  <c r="H222" i="2" s="1"/>
  <c r="D223" i="2"/>
  <c r="G223" i="2" s="1"/>
  <c r="H223" i="2" s="1"/>
  <c r="D224" i="2"/>
  <c r="G224" i="2" s="1"/>
  <c r="H224" i="2" s="1"/>
  <c r="D225" i="2"/>
  <c r="G225" i="2" s="1"/>
  <c r="H225" i="2" s="1"/>
  <c r="D226" i="2"/>
  <c r="G226" i="2" s="1"/>
  <c r="H226" i="2" s="1"/>
  <c r="D227" i="2"/>
  <c r="G227" i="2" s="1"/>
  <c r="H227" i="2" s="1"/>
  <c r="D228" i="2"/>
  <c r="G228" i="2" s="1"/>
  <c r="H228" i="2" s="1"/>
  <c r="D229" i="2"/>
  <c r="G229" i="2" s="1"/>
  <c r="H229" i="2" s="1"/>
  <c r="D230" i="2"/>
  <c r="G230" i="2" s="1"/>
  <c r="H230" i="2" s="1"/>
  <c r="D231" i="2"/>
  <c r="G231" i="2" s="1"/>
  <c r="H231" i="2" s="1"/>
  <c r="D232" i="2"/>
  <c r="G232" i="2" s="1"/>
  <c r="H232" i="2" s="1"/>
  <c r="D233" i="2"/>
  <c r="G233" i="2" s="1"/>
  <c r="H233" i="2" s="1"/>
  <c r="D234" i="2"/>
  <c r="G234" i="2" s="1"/>
  <c r="H234" i="2" s="1"/>
  <c r="D235" i="2"/>
  <c r="G235" i="2" s="1"/>
  <c r="H235" i="2" s="1"/>
  <c r="D236" i="2"/>
  <c r="G236" i="2" s="1"/>
  <c r="H236" i="2" s="1"/>
  <c r="D237" i="2"/>
  <c r="G237" i="2" s="1"/>
  <c r="H237" i="2" s="1"/>
  <c r="D238" i="2"/>
  <c r="G238" i="2" s="1"/>
  <c r="H238" i="2" s="1"/>
  <c r="D239" i="2"/>
  <c r="G239" i="2" s="1"/>
  <c r="H239" i="2" s="1"/>
  <c r="D240" i="2"/>
  <c r="G240" i="2" s="1"/>
  <c r="H240" i="2" s="1"/>
  <c r="D241" i="2"/>
  <c r="G241" i="2" s="1"/>
  <c r="H241" i="2" s="1"/>
  <c r="D242" i="2"/>
  <c r="G242" i="2" s="1"/>
  <c r="H242" i="2" s="1"/>
  <c r="D243" i="2"/>
  <c r="G243" i="2" s="1"/>
  <c r="H243" i="2" s="1"/>
  <c r="D244" i="2"/>
  <c r="G244" i="2" s="1"/>
  <c r="H244" i="2" s="1"/>
  <c r="D245" i="2"/>
  <c r="G245" i="2" s="1"/>
  <c r="H245" i="2" s="1"/>
  <c r="D246" i="2"/>
  <c r="G246" i="2" s="1"/>
  <c r="H246" i="2" s="1"/>
  <c r="D247" i="2"/>
  <c r="G247" i="2" s="1"/>
  <c r="H247" i="2" s="1"/>
  <c r="D248" i="2"/>
  <c r="G248" i="2" s="1"/>
  <c r="H248" i="2" s="1"/>
  <c r="D249" i="2"/>
  <c r="G249" i="2" s="1"/>
  <c r="H249" i="2" s="1"/>
  <c r="D250" i="2"/>
  <c r="G250" i="2" s="1"/>
  <c r="H250" i="2" s="1"/>
  <c r="D251" i="2"/>
  <c r="G251" i="2" s="1"/>
  <c r="H251" i="2" s="1"/>
  <c r="D252" i="2"/>
  <c r="G252" i="2" s="1"/>
  <c r="H252" i="2" s="1"/>
  <c r="D253" i="2"/>
  <c r="G253" i="2" s="1"/>
  <c r="H253" i="2" s="1"/>
  <c r="D254" i="2"/>
  <c r="G254" i="2" s="1"/>
  <c r="H254" i="2" s="1"/>
  <c r="D255" i="2"/>
  <c r="G255" i="2" s="1"/>
  <c r="H255" i="2" s="1"/>
  <c r="D256" i="2"/>
  <c r="G256" i="2" s="1"/>
  <c r="H256" i="2" s="1"/>
  <c r="D257" i="2"/>
  <c r="G257" i="2" s="1"/>
  <c r="H257" i="2" s="1"/>
  <c r="D258" i="2"/>
  <c r="G258" i="2" s="1"/>
  <c r="H258" i="2" s="1"/>
  <c r="D259" i="2"/>
  <c r="G259" i="2" s="1"/>
  <c r="H259" i="2" s="1"/>
  <c r="D260" i="2"/>
  <c r="G260" i="2" s="1"/>
  <c r="H260" i="2" s="1"/>
  <c r="D261" i="2"/>
  <c r="G261" i="2" s="1"/>
  <c r="H261" i="2" s="1"/>
  <c r="D262" i="2"/>
  <c r="G262" i="2" s="1"/>
  <c r="H262" i="2" s="1"/>
  <c r="D263" i="2"/>
  <c r="G263" i="2" s="1"/>
  <c r="H263" i="2" s="1"/>
  <c r="D264" i="2"/>
  <c r="G264" i="2" s="1"/>
  <c r="H264" i="2" s="1"/>
  <c r="D265" i="2"/>
  <c r="G265" i="2" s="1"/>
  <c r="H265" i="2" s="1"/>
  <c r="D266" i="2"/>
  <c r="G266" i="2" s="1"/>
  <c r="H266" i="2" s="1"/>
  <c r="D267" i="2"/>
  <c r="G267" i="2" s="1"/>
  <c r="H267" i="2" s="1"/>
  <c r="D268" i="2"/>
  <c r="G268" i="2" s="1"/>
  <c r="H268" i="2" s="1"/>
  <c r="D269" i="2"/>
  <c r="G269" i="2" s="1"/>
  <c r="H269" i="2" s="1"/>
  <c r="D270" i="2"/>
  <c r="G270" i="2" s="1"/>
  <c r="H270" i="2" s="1"/>
  <c r="D271" i="2"/>
  <c r="G271" i="2" s="1"/>
  <c r="H271" i="2" s="1"/>
  <c r="D272" i="2"/>
  <c r="G272" i="2" s="1"/>
  <c r="H272" i="2" s="1"/>
  <c r="D273" i="2"/>
  <c r="G273" i="2" s="1"/>
  <c r="H273" i="2" s="1"/>
  <c r="D274" i="2"/>
  <c r="G274" i="2" s="1"/>
  <c r="H274" i="2" s="1"/>
  <c r="D275" i="2"/>
  <c r="G275" i="2" s="1"/>
  <c r="H275" i="2" s="1"/>
  <c r="D276" i="2"/>
  <c r="G276" i="2" s="1"/>
  <c r="H276" i="2" s="1"/>
  <c r="D277" i="2"/>
  <c r="G277" i="2" s="1"/>
  <c r="H277" i="2" s="1"/>
  <c r="D278" i="2"/>
  <c r="G278" i="2" s="1"/>
  <c r="H278" i="2" s="1"/>
  <c r="D279" i="2"/>
  <c r="G279" i="2" s="1"/>
  <c r="H279" i="2" s="1"/>
  <c r="D280" i="2"/>
  <c r="G280" i="2" s="1"/>
  <c r="H280" i="2" s="1"/>
  <c r="D281" i="2"/>
  <c r="G281" i="2" s="1"/>
  <c r="H281" i="2" s="1"/>
  <c r="D282" i="2"/>
  <c r="G282" i="2" s="1"/>
  <c r="H282" i="2" s="1"/>
  <c r="D283" i="2"/>
  <c r="G283" i="2" s="1"/>
  <c r="H283" i="2" s="1"/>
  <c r="D284" i="2"/>
  <c r="G284" i="2" s="1"/>
  <c r="H284" i="2" s="1"/>
  <c r="D285" i="2"/>
  <c r="G285" i="2" s="1"/>
  <c r="H285" i="2" s="1"/>
  <c r="D286" i="2"/>
  <c r="G286" i="2" s="1"/>
  <c r="H286" i="2" s="1"/>
  <c r="D287" i="2"/>
  <c r="G287" i="2" s="1"/>
  <c r="H287" i="2" s="1"/>
  <c r="D288" i="2"/>
  <c r="G288" i="2" s="1"/>
  <c r="H288" i="2" s="1"/>
  <c r="D289" i="2"/>
  <c r="G289" i="2" s="1"/>
  <c r="H289" i="2" s="1"/>
  <c r="D290" i="2"/>
  <c r="G290" i="2" s="1"/>
  <c r="H290" i="2" s="1"/>
  <c r="D291" i="2"/>
  <c r="G291" i="2" s="1"/>
  <c r="H291" i="2" s="1"/>
  <c r="D292" i="2"/>
  <c r="G292" i="2" s="1"/>
  <c r="H292" i="2" s="1"/>
  <c r="D293" i="2"/>
  <c r="G293" i="2" s="1"/>
  <c r="H293" i="2" s="1"/>
  <c r="D294" i="2"/>
  <c r="G294" i="2" s="1"/>
  <c r="H294" i="2" s="1"/>
  <c r="D295" i="2"/>
  <c r="G295" i="2" s="1"/>
  <c r="H295" i="2" s="1"/>
  <c r="D296" i="2"/>
  <c r="G296" i="2" s="1"/>
  <c r="H296" i="2" s="1"/>
  <c r="D297" i="2"/>
  <c r="G297" i="2" s="1"/>
  <c r="H297" i="2" s="1"/>
  <c r="D298" i="2"/>
  <c r="G298" i="2" s="1"/>
  <c r="H298" i="2" s="1"/>
  <c r="D299" i="2"/>
  <c r="G299" i="2" s="1"/>
  <c r="H299" i="2" s="1"/>
  <c r="D300" i="2"/>
  <c r="G300" i="2" s="1"/>
  <c r="H300" i="2" s="1"/>
  <c r="D301" i="2"/>
  <c r="G301" i="2" s="1"/>
  <c r="H301" i="2" s="1"/>
  <c r="D302" i="2"/>
  <c r="G302" i="2" s="1"/>
  <c r="H302" i="2" s="1"/>
  <c r="D303" i="2"/>
  <c r="G303" i="2" s="1"/>
  <c r="H303" i="2" s="1"/>
  <c r="D304" i="2"/>
  <c r="G304" i="2" s="1"/>
  <c r="H304" i="2" s="1"/>
  <c r="D305" i="2"/>
  <c r="G305" i="2" s="1"/>
  <c r="H305" i="2" s="1"/>
  <c r="D306" i="2"/>
  <c r="G306" i="2" s="1"/>
  <c r="H306" i="2" s="1"/>
  <c r="D307" i="2"/>
  <c r="G307" i="2" s="1"/>
  <c r="H307" i="2" s="1"/>
  <c r="D308" i="2"/>
  <c r="G308" i="2" s="1"/>
  <c r="H308" i="2" s="1"/>
  <c r="D309" i="2"/>
  <c r="G309" i="2" s="1"/>
  <c r="H309" i="2" s="1"/>
  <c r="D310" i="2"/>
  <c r="G310" i="2" s="1"/>
  <c r="H310" i="2" s="1"/>
  <c r="D311" i="2"/>
  <c r="G311" i="2" s="1"/>
  <c r="H311" i="2" s="1"/>
  <c r="D312" i="2"/>
  <c r="G312" i="2" s="1"/>
  <c r="H312" i="2" s="1"/>
  <c r="D313" i="2"/>
  <c r="G313" i="2" s="1"/>
  <c r="H313" i="2" s="1"/>
  <c r="D314" i="2"/>
  <c r="G314" i="2" s="1"/>
  <c r="H314" i="2" s="1"/>
  <c r="D315" i="2"/>
  <c r="G315" i="2" s="1"/>
  <c r="H315" i="2" s="1"/>
  <c r="D316" i="2"/>
  <c r="G316" i="2" s="1"/>
  <c r="H316" i="2" s="1"/>
  <c r="D317" i="2"/>
  <c r="G317" i="2" s="1"/>
  <c r="H317" i="2" s="1"/>
  <c r="D318" i="2"/>
  <c r="G318" i="2" s="1"/>
  <c r="H318" i="2" s="1"/>
  <c r="D319" i="2"/>
  <c r="G319" i="2" s="1"/>
  <c r="H319" i="2" s="1"/>
  <c r="D320" i="2"/>
  <c r="G320" i="2" s="1"/>
  <c r="H320" i="2" s="1"/>
  <c r="D321" i="2"/>
  <c r="G321" i="2" s="1"/>
  <c r="H321" i="2" s="1"/>
  <c r="D322" i="2"/>
  <c r="G322" i="2" s="1"/>
  <c r="H322" i="2" s="1"/>
  <c r="D323" i="2"/>
  <c r="G323" i="2" s="1"/>
  <c r="H323" i="2" s="1"/>
  <c r="D324" i="2"/>
  <c r="G324" i="2" s="1"/>
  <c r="H324" i="2" s="1"/>
  <c r="D325" i="2"/>
  <c r="G325" i="2" s="1"/>
  <c r="H325" i="2" s="1"/>
  <c r="D326" i="2"/>
  <c r="G326" i="2" s="1"/>
  <c r="H326" i="2" s="1"/>
  <c r="D327" i="2"/>
  <c r="G327" i="2" s="1"/>
  <c r="H327" i="2" s="1"/>
  <c r="D328" i="2"/>
  <c r="G328" i="2" s="1"/>
  <c r="H328" i="2" s="1"/>
  <c r="D329" i="2"/>
  <c r="G329" i="2" s="1"/>
  <c r="H329" i="2" s="1"/>
  <c r="D330" i="2"/>
  <c r="G330" i="2" s="1"/>
  <c r="H330" i="2" s="1"/>
  <c r="D331" i="2"/>
  <c r="G331" i="2" s="1"/>
  <c r="H331" i="2" s="1"/>
  <c r="D332" i="2"/>
  <c r="G332" i="2" s="1"/>
  <c r="H332" i="2" s="1"/>
  <c r="D333" i="2"/>
  <c r="G333" i="2" s="1"/>
  <c r="H333" i="2" s="1"/>
  <c r="D334" i="2"/>
  <c r="G334" i="2" s="1"/>
  <c r="H334" i="2" s="1"/>
  <c r="D335" i="2"/>
  <c r="G335" i="2" s="1"/>
  <c r="H335" i="2" s="1"/>
  <c r="D336" i="2"/>
  <c r="G336" i="2" s="1"/>
  <c r="H336" i="2" s="1"/>
  <c r="D337" i="2"/>
  <c r="G337" i="2" s="1"/>
  <c r="H337" i="2" s="1"/>
  <c r="D338" i="2"/>
  <c r="G338" i="2" s="1"/>
  <c r="H338" i="2" s="1"/>
  <c r="D339" i="2"/>
  <c r="G339" i="2" s="1"/>
  <c r="H339" i="2" s="1"/>
  <c r="D340" i="2"/>
  <c r="G340" i="2" s="1"/>
  <c r="H340" i="2" s="1"/>
  <c r="D341" i="2"/>
  <c r="G341" i="2" s="1"/>
  <c r="H341" i="2" s="1"/>
  <c r="D342" i="2"/>
  <c r="G342" i="2" s="1"/>
  <c r="H342" i="2" s="1"/>
  <c r="D343" i="2"/>
  <c r="G343" i="2" s="1"/>
  <c r="H343" i="2" s="1"/>
  <c r="D344" i="2"/>
  <c r="G344" i="2" s="1"/>
  <c r="H344" i="2" s="1"/>
  <c r="D345" i="2"/>
  <c r="G345" i="2" s="1"/>
  <c r="H345" i="2" s="1"/>
  <c r="D346" i="2"/>
  <c r="G346" i="2" s="1"/>
  <c r="H346" i="2" s="1"/>
  <c r="D347" i="2"/>
  <c r="G347" i="2" s="1"/>
  <c r="H347" i="2" s="1"/>
  <c r="D348" i="2"/>
  <c r="G348" i="2" s="1"/>
  <c r="H348" i="2" s="1"/>
  <c r="D349" i="2"/>
  <c r="G349" i="2" s="1"/>
  <c r="H349" i="2" s="1"/>
  <c r="D350" i="2"/>
  <c r="G350" i="2" s="1"/>
  <c r="H350" i="2" s="1"/>
  <c r="D351" i="2"/>
  <c r="G351" i="2" s="1"/>
  <c r="H351" i="2" s="1"/>
  <c r="D352" i="2"/>
  <c r="G352" i="2" s="1"/>
  <c r="H352" i="2" s="1"/>
  <c r="D353" i="2"/>
  <c r="G353" i="2" s="1"/>
  <c r="H353" i="2" s="1"/>
  <c r="D354" i="2"/>
  <c r="G354" i="2" s="1"/>
  <c r="H354" i="2" s="1"/>
  <c r="D355" i="2"/>
  <c r="G355" i="2" s="1"/>
  <c r="H355" i="2" s="1"/>
  <c r="D356" i="2"/>
  <c r="G356" i="2" s="1"/>
  <c r="H356" i="2" s="1"/>
  <c r="D357" i="2"/>
  <c r="G357" i="2" s="1"/>
  <c r="H357" i="2" s="1"/>
  <c r="D358" i="2"/>
  <c r="G358" i="2" s="1"/>
  <c r="H358" i="2" s="1"/>
  <c r="D359" i="2"/>
  <c r="G359" i="2" s="1"/>
  <c r="H359" i="2" s="1"/>
  <c r="D360" i="2"/>
  <c r="G360" i="2" s="1"/>
  <c r="H360" i="2" s="1"/>
  <c r="D361" i="2"/>
  <c r="G361" i="2" s="1"/>
  <c r="H361" i="2" s="1"/>
  <c r="D362" i="2"/>
  <c r="G362" i="2" s="1"/>
  <c r="H362" i="2" s="1"/>
  <c r="D363" i="2"/>
  <c r="G363" i="2" s="1"/>
  <c r="H363" i="2" s="1"/>
  <c r="D364" i="2"/>
  <c r="G364" i="2" s="1"/>
  <c r="H364" i="2" s="1"/>
  <c r="D365" i="2"/>
  <c r="G365" i="2" s="1"/>
  <c r="H365" i="2" s="1"/>
  <c r="D366" i="2"/>
  <c r="G366" i="2" s="1"/>
  <c r="H366" i="2" s="1"/>
  <c r="D367" i="2"/>
  <c r="G367" i="2" s="1"/>
  <c r="H367" i="2" s="1"/>
  <c r="D368" i="2"/>
  <c r="G368" i="2" s="1"/>
  <c r="H368" i="2" s="1"/>
  <c r="D369" i="2"/>
  <c r="G369" i="2" s="1"/>
  <c r="H369" i="2" s="1"/>
  <c r="D370" i="2"/>
  <c r="G370" i="2" s="1"/>
  <c r="H370" i="2" s="1"/>
  <c r="D371" i="2"/>
  <c r="G371" i="2" s="1"/>
  <c r="H371" i="2" s="1"/>
  <c r="D372" i="2"/>
  <c r="G372" i="2" s="1"/>
  <c r="H372" i="2" s="1"/>
  <c r="D373" i="2"/>
  <c r="G373" i="2" s="1"/>
  <c r="H373" i="2" s="1"/>
  <c r="D374" i="2"/>
  <c r="G374" i="2" s="1"/>
  <c r="H374" i="2" s="1"/>
  <c r="D375" i="2"/>
  <c r="G375" i="2" s="1"/>
  <c r="H375" i="2" s="1"/>
  <c r="D376" i="2"/>
  <c r="G376" i="2" s="1"/>
  <c r="H376" i="2" s="1"/>
  <c r="D377" i="2"/>
  <c r="G377" i="2" s="1"/>
  <c r="H377" i="2" s="1"/>
  <c r="D378" i="2"/>
  <c r="G378" i="2" s="1"/>
  <c r="H378" i="2" s="1"/>
  <c r="D379" i="2"/>
  <c r="G379" i="2" s="1"/>
  <c r="H379" i="2" s="1"/>
  <c r="D380" i="2"/>
  <c r="G380" i="2" s="1"/>
  <c r="H380" i="2" s="1"/>
  <c r="D381" i="2"/>
  <c r="G381" i="2" s="1"/>
  <c r="H381" i="2" s="1"/>
  <c r="D382" i="2"/>
  <c r="G382" i="2" s="1"/>
  <c r="H382" i="2" s="1"/>
  <c r="D383" i="2"/>
  <c r="G383" i="2" s="1"/>
  <c r="H383" i="2" s="1"/>
  <c r="D384" i="2"/>
  <c r="G384" i="2" s="1"/>
  <c r="H384" i="2" s="1"/>
  <c r="D385" i="2"/>
  <c r="G385" i="2" s="1"/>
  <c r="H385" i="2" s="1"/>
  <c r="D386" i="2"/>
  <c r="G386" i="2" s="1"/>
  <c r="H386" i="2" s="1"/>
  <c r="D387" i="2"/>
  <c r="G387" i="2" s="1"/>
  <c r="H387" i="2" s="1"/>
  <c r="D388" i="2"/>
  <c r="G388" i="2" s="1"/>
  <c r="H388" i="2" s="1"/>
  <c r="D389" i="2"/>
  <c r="G389" i="2" s="1"/>
  <c r="H389" i="2" s="1"/>
  <c r="D390" i="2"/>
  <c r="G390" i="2" s="1"/>
  <c r="H390" i="2" s="1"/>
  <c r="D391" i="2"/>
  <c r="G391" i="2" s="1"/>
  <c r="H391" i="2" s="1"/>
  <c r="D392" i="2"/>
  <c r="G392" i="2" s="1"/>
  <c r="H392" i="2" s="1"/>
  <c r="D393" i="2"/>
  <c r="G393" i="2" s="1"/>
  <c r="H393" i="2" s="1"/>
  <c r="D394" i="2"/>
  <c r="G394" i="2" s="1"/>
  <c r="H394" i="2" s="1"/>
  <c r="D395" i="2"/>
  <c r="G395" i="2" s="1"/>
  <c r="H395" i="2" s="1"/>
  <c r="D396" i="2"/>
  <c r="G396" i="2" s="1"/>
  <c r="H396" i="2" s="1"/>
  <c r="D397" i="2"/>
  <c r="G397" i="2" s="1"/>
  <c r="H397" i="2" s="1"/>
  <c r="D398" i="2"/>
  <c r="G398" i="2" s="1"/>
  <c r="H398" i="2" s="1"/>
  <c r="D399" i="2"/>
  <c r="G399" i="2" s="1"/>
  <c r="H399" i="2" s="1"/>
  <c r="D400" i="2"/>
  <c r="G400" i="2" s="1"/>
  <c r="H400" i="2" s="1"/>
  <c r="D401" i="2"/>
  <c r="G401" i="2" s="1"/>
  <c r="H401" i="2" s="1"/>
  <c r="D402" i="2"/>
  <c r="G402" i="2" s="1"/>
  <c r="H402" i="2" s="1"/>
  <c r="D403" i="2"/>
  <c r="G403" i="2" s="1"/>
  <c r="H403" i="2" s="1"/>
  <c r="D404" i="2"/>
  <c r="G404" i="2" s="1"/>
  <c r="H404" i="2" s="1"/>
  <c r="D405" i="2"/>
  <c r="G405" i="2" s="1"/>
  <c r="H405" i="2" s="1"/>
  <c r="D406" i="2"/>
  <c r="G406" i="2" s="1"/>
  <c r="H406" i="2" s="1"/>
  <c r="D407" i="2"/>
  <c r="G407" i="2" s="1"/>
  <c r="H407" i="2" s="1"/>
  <c r="D408" i="2"/>
  <c r="G408" i="2" s="1"/>
  <c r="H408" i="2" s="1"/>
  <c r="D409" i="2"/>
  <c r="G409" i="2" s="1"/>
  <c r="H409" i="2" s="1"/>
  <c r="D410" i="2"/>
  <c r="G410" i="2" s="1"/>
  <c r="H410" i="2" s="1"/>
  <c r="D411" i="2"/>
  <c r="G411" i="2" s="1"/>
  <c r="H411" i="2" s="1"/>
  <c r="D412" i="2"/>
  <c r="G412" i="2" s="1"/>
  <c r="H412" i="2" s="1"/>
  <c r="D413" i="2"/>
  <c r="G413" i="2" s="1"/>
  <c r="H413" i="2" s="1"/>
  <c r="D414" i="2"/>
  <c r="G414" i="2" s="1"/>
  <c r="H414" i="2" s="1"/>
  <c r="D415" i="2"/>
  <c r="G415" i="2" s="1"/>
  <c r="H415" i="2" s="1"/>
  <c r="D416" i="2"/>
  <c r="G416" i="2" s="1"/>
  <c r="H416" i="2" s="1"/>
  <c r="D417" i="2"/>
  <c r="G417" i="2" s="1"/>
  <c r="H417" i="2" s="1"/>
  <c r="D418" i="2"/>
  <c r="G418" i="2" s="1"/>
  <c r="H418" i="2" s="1"/>
  <c r="D419" i="2"/>
  <c r="G419" i="2" s="1"/>
  <c r="H419" i="2" s="1"/>
  <c r="D420" i="2"/>
  <c r="G420" i="2" s="1"/>
  <c r="H420" i="2" s="1"/>
  <c r="D421" i="2"/>
  <c r="G421" i="2" s="1"/>
  <c r="H421" i="2" s="1"/>
  <c r="D422" i="2"/>
  <c r="G422" i="2" s="1"/>
  <c r="H422" i="2" s="1"/>
  <c r="D423" i="2"/>
  <c r="G423" i="2" s="1"/>
  <c r="H423" i="2" s="1"/>
  <c r="D424" i="2"/>
  <c r="G424" i="2" s="1"/>
  <c r="H424" i="2" s="1"/>
  <c r="D425" i="2"/>
  <c r="G425" i="2" s="1"/>
  <c r="H425" i="2" s="1"/>
  <c r="D426" i="2"/>
  <c r="G426" i="2" s="1"/>
  <c r="H426" i="2" s="1"/>
  <c r="D427" i="2"/>
  <c r="G427" i="2" s="1"/>
  <c r="H427" i="2" s="1"/>
  <c r="D428" i="2"/>
  <c r="G428" i="2" s="1"/>
  <c r="H428" i="2" s="1"/>
  <c r="D429" i="2"/>
  <c r="G429" i="2" s="1"/>
  <c r="H429" i="2" s="1"/>
  <c r="D430" i="2"/>
  <c r="G430" i="2" s="1"/>
  <c r="H430" i="2" s="1"/>
  <c r="D431" i="2"/>
  <c r="G431" i="2" s="1"/>
  <c r="H431" i="2" s="1"/>
  <c r="D432" i="2"/>
  <c r="G432" i="2" s="1"/>
  <c r="H432" i="2" s="1"/>
  <c r="D433" i="2"/>
  <c r="G433" i="2" s="1"/>
  <c r="H433" i="2" s="1"/>
  <c r="D434" i="2"/>
  <c r="G434" i="2" s="1"/>
  <c r="H434" i="2" s="1"/>
  <c r="D435" i="2"/>
  <c r="G435" i="2" s="1"/>
  <c r="H435" i="2" s="1"/>
  <c r="D436" i="2"/>
  <c r="G436" i="2" s="1"/>
  <c r="H436" i="2" s="1"/>
  <c r="D437" i="2"/>
  <c r="G437" i="2" s="1"/>
  <c r="H437" i="2" s="1"/>
  <c r="D438" i="2"/>
  <c r="G438" i="2" s="1"/>
  <c r="H438" i="2" s="1"/>
  <c r="D439" i="2"/>
  <c r="G439" i="2" s="1"/>
  <c r="H439" i="2" s="1"/>
  <c r="D440" i="2"/>
  <c r="G440" i="2" s="1"/>
  <c r="H440" i="2" s="1"/>
  <c r="D441" i="2"/>
  <c r="G441" i="2" s="1"/>
  <c r="H441" i="2" s="1"/>
  <c r="D442" i="2"/>
  <c r="G442" i="2" s="1"/>
  <c r="H442" i="2" s="1"/>
  <c r="D443" i="2"/>
  <c r="G443" i="2" s="1"/>
  <c r="H443" i="2" s="1"/>
  <c r="D444" i="2"/>
  <c r="G444" i="2" s="1"/>
  <c r="H444" i="2" s="1"/>
  <c r="D445" i="2"/>
  <c r="G445" i="2" s="1"/>
  <c r="H445" i="2" s="1"/>
  <c r="D446" i="2"/>
  <c r="G446" i="2" s="1"/>
  <c r="H446" i="2" s="1"/>
  <c r="D447" i="2"/>
  <c r="G447" i="2" s="1"/>
  <c r="H447" i="2" s="1"/>
  <c r="D448" i="2"/>
  <c r="G448" i="2" s="1"/>
  <c r="H448" i="2" s="1"/>
  <c r="D449" i="2"/>
  <c r="G449" i="2" s="1"/>
  <c r="H449" i="2" s="1"/>
  <c r="D450" i="2"/>
  <c r="G450" i="2" s="1"/>
  <c r="H450" i="2" s="1"/>
  <c r="D451" i="2"/>
  <c r="G451" i="2" s="1"/>
  <c r="H451" i="2" s="1"/>
  <c r="D452" i="2"/>
  <c r="G452" i="2" s="1"/>
  <c r="H452" i="2" s="1"/>
  <c r="D453" i="2"/>
  <c r="G453" i="2" s="1"/>
  <c r="H453" i="2" s="1"/>
  <c r="D454" i="2"/>
  <c r="G454" i="2" s="1"/>
  <c r="H454" i="2" s="1"/>
  <c r="D455" i="2"/>
  <c r="G455" i="2" s="1"/>
  <c r="H455" i="2" s="1"/>
  <c r="D456" i="2"/>
  <c r="G456" i="2" s="1"/>
  <c r="H456" i="2" s="1"/>
  <c r="D457" i="2"/>
  <c r="G457" i="2" s="1"/>
  <c r="H457" i="2" s="1"/>
  <c r="D458" i="2"/>
  <c r="G458" i="2" s="1"/>
  <c r="H458" i="2" s="1"/>
  <c r="D459" i="2"/>
  <c r="G459" i="2" s="1"/>
  <c r="H459" i="2" s="1"/>
  <c r="D460" i="2"/>
  <c r="G460" i="2" s="1"/>
  <c r="H460" i="2" s="1"/>
  <c r="D461" i="2"/>
  <c r="G461" i="2" s="1"/>
  <c r="H461" i="2" s="1"/>
  <c r="D462" i="2"/>
  <c r="G462" i="2" s="1"/>
  <c r="H462" i="2" s="1"/>
  <c r="D463" i="2"/>
  <c r="G463" i="2" s="1"/>
  <c r="H463" i="2" s="1"/>
  <c r="D464" i="2"/>
  <c r="G464" i="2" s="1"/>
  <c r="H464" i="2" s="1"/>
  <c r="D465" i="2"/>
  <c r="G465" i="2" s="1"/>
  <c r="H465" i="2" s="1"/>
  <c r="D466" i="2"/>
  <c r="G466" i="2" s="1"/>
  <c r="H466" i="2" s="1"/>
  <c r="D467" i="2"/>
  <c r="G467" i="2" s="1"/>
  <c r="H467" i="2" s="1"/>
  <c r="D468" i="2"/>
  <c r="G468" i="2" s="1"/>
  <c r="H468" i="2" s="1"/>
  <c r="D469" i="2"/>
  <c r="G469" i="2" s="1"/>
  <c r="H469" i="2" s="1"/>
  <c r="D470" i="2"/>
  <c r="G470" i="2" s="1"/>
  <c r="H470" i="2" s="1"/>
  <c r="D471" i="2"/>
  <c r="G471" i="2" s="1"/>
  <c r="H471" i="2" s="1"/>
  <c r="D472" i="2"/>
  <c r="G472" i="2" s="1"/>
  <c r="H472" i="2" s="1"/>
  <c r="D473" i="2"/>
  <c r="G473" i="2" s="1"/>
  <c r="H473" i="2" s="1"/>
  <c r="D474" i="2"/>
  <c r="G474" i="2" s="1"/>
  <c r="H474" i="2" s="1"/>
  <c r="D475" i="2"/>
  <c r="G475" i="2" s="1"/>
  <c r="H475" i="2" s="1"/>
  <c r="D476" i="2"/>
  <c r="G476" i="2" s="1"/>
  <c r="H476" i="2" s="1"/>
  <c r="D477" i="2"/>
  <c r="G477" i="2" s="1"/>
  <c r="H477" i="2" s="1"/>
  <c r="D478" i="2"/>
  <c r="G478" i="2" s="1"/>
  <c r="H478" i="2" s="1"/>
  <c r="D479" i="2"/>
  <c r="G479" i="2" s="1"/>
  <c r="H479" i="2" s="1"/>
  <c r="D480" i="2"/>
  <c r="G480" i="2" s="1"/>
  <c r="H480" i="2" s="1"/>
  <c r="D481" i="2"/>
  <c r="G481" i="2" s="1"/>
  <c r="H481" i="2" s="1"/>
  <c r="D482" i="2"/>
  <c r="G482" i="2" s="1"/>
  <c r="H482" i="2" s="1"/>
  <c r="D483" i="2"/>
  <c r="G483" i="2" s="1"/>
  <c r="H483" i="2" s="1"/>
  <c r="D484" i="2"/>
  <c r="G484" i="2" s="1"/>
  <c r="H484" i="2" s="1"/>
  <c r="D485" i="2"/>
  <c r="G485" i="2" s="1"/>
  <c r="H485" i="2" s="1"/>
  <c r="D486" i="2"/>
  <c r="G486" i="2" s="1"/>
  <c r="H486" i="2" s="1"/>
  <c r="D487" i="2"/>
  <c r="G487" i="2" s="1"/>
  <c r="H487" i="2" s="1"/>
  <c r="D488" i="2"/>
  <c r="G488" i="2" s="1"/>
  <c r="H488" i="2" s="1"/>
  <c r="D489" i="2"/>
  <c r="G489" i="2" s="1"/>
  <c r="H489" i="2" s="1"/>
  <c r="D490" i="2"/>
  <c r="G490" i="2" s="1"/>
  <c r="H490" i="2" s="1"/>
  <c r="D491" i="2"/>
  <c r="G491" i="2" s="1"/>
  <c r="H491" i="2" s="1"/>
  <c r="D492" i="2"/>
  <c r="G492" i="2" s="1"/>
  <c r="H492" i="2" s="1"/>
  <c r="D493" i="2"/>
  <c r="G493" i="2" s="1"/>
  <c r="H493" i="2" s="1"/>
  <c r="D494" i="2"/>
  <c r="G494" i="2" s="1"/>
  <c r="H494" i="2" s="1"/>
  <c r="D495" i="2"/>
  <c r="G495" i="2" s="1"/>
  <c r="H495" i="2" s="1"/>
  <c r="D496" i="2"/>
  <c r="G496" i="2" s="1"/>
  <c r="H496" i="2" s="1"/>
  <c r="D497" i="2"/>
  <c r="G497" i="2" s="1"/>
  <c r="H497" i="2" s="1"/>
  <c r="D498" i="2"/>
  <c r="G498" i="2" s="1"/>
  <c r="H498" i="2" s="1"/>
  <c r="D499" i="2"/>
  <c r="G499" i="2" s="1"/>
  <c r="H499" i="2" s="1"/>
  <c r="D500" i="2"/>
  <c r="G500" i="2" s="1"/>
  <c r="H500" i="2" s="1"/>
  <c r="D501" i="2"/>
  <c r="G501" i="2" s="1"/>
  <c r="H501" i="2" s="1"/>
  <c r="D2" i="2"/>
  <c r="G2" i="2" s="1"/>
  <c r="H2" i="2" s="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DO22" i="4" l="1"/>
  <c r="DO23" i="4"/>
  <c r="DN24" i="4"/>
  <c r="DN23" i="4"/>
  <c r="DN22" i="4"/>
  <c r="DO24" i="4"/>
  <c r="AV41" i="4"/>
  <c r="AV44" i="4" s="1"/>
  <c r="CS38" i="4"/>
  <c r="CS36" i="4"/>
  <c r="DX26" i="4"/>
  <c r="DW24" i="4"/>
  <c r="DW26" i="4"/>
  <c r="DX24" i="4"/>
  <c r="DX25" i="4"/>
  <c r="DX27" i="4"/>
  <c r="DX23" i="4"/>
  <c r="DW23" i="4"/>
  <c r="DW25" i="4"/>
  <c r="DW27" i="4"/>
  <c r="EI23" i="4"/>
  <c r="EI24" i="4"/>
  <c r="EI25" i="4"/>
  <c r="EI26" i="4"/>
  <c r="EI22" i="4"/>
  <c r="CV27" i="4"/>
  <c r="CV30" i="4"/>
  <c r="CU27" i="4"/>
  <c r="CV29" i="4"/>
  <c r="CU29" i="4"/>
  <c r="CU26" i="4"/>
  <c r="CV31" i="4"/>
  <c r="CU30" i="4"/>
  <c r="CV28" i="4"/>
  <c r="CU28" i="4"/>
  <c r="CU31" i="4"/>
  <c r="CH32" i="4"/>
  <c r="CG32" i="4"/>
  <c r="CG33" i="4"/>
  <c r="CH33" i="4"/>
  <c r="CH34" i="4"/>
  <c r="CG34" i="4"/>
  <c r="CG35" i="4"/>
  <c r="CH35" i="4"/>
  <c r="CG36" i="4"/>
  <c r="CH36" i="4"/>
  <c r="CG37" i="4"/>
  <c r="CH37" i="4"/>
  <c r="CG38" i="4"/>
  <c r="CH38" i="4"/>
  <c r="CH39" i="4"/>
  <c r="CG39" i="4"/>
  <c r="CH40" i="4"/>
  <c r="CG40" i="4"/>
  <c r="CH41" i="4"/>
  <c r="CG41" i="4"/>
  <c r="CH42" i="4"/>
  <c r="CG42" i="4"/>
  <c r="CH43" i="4"/>
  <c r="CG43" i="4"/>
  <c r="AT41" i="4"/>
  <c r="AT44" i="4" s="1"/>
  <c r="AU37" i="4"/>
  <c r="AT48" i="4" s="1"/>
  <c r="AU32" i="4"/>
  <c r="AT45" i="4" s="1"/>
  <c r="E251" i="2"/>
  <c r="F251" i="2"/>
  <c r="E252" i="2"/>
  <c r="F252" i="2"/>
  <c r="E253" i="2"/>
  <c r="F253" i="2"/>
  <c r="E254" i="2"/>
  <c r="F254" i="2"/>
  <c r="E255" i="2"/>
  <c r="F255" i="2"/>
  <c r="E256" i="2"/>
  <c r="F256" i="2"/>
  <c r="E257" i="2"/>
  <c r="F257" i="2"/>
  <c r="E258" i="2"/>
  <c r="F258" i="2"/>
  <c r="E259" i="2"/>
  <c r="F259" i="2"/>
  <c r="E260" i="2"/>
  <c r="F260" i="2"/>
  <c r="E261" i="2"/>
  <c r="F261" i="2"/>
  <c r="E262" i="2"/>
  <c r="F262" i="2"/>
  <c r="E263" i="2"/>
  <c r="F263" i="2"/>
  <c r="E264" i="2"/>
  <c r="F264" i="2"/>
  <c r="E265" i="2"/>
  <c r="F265" i="2"/>
  <c r="E266" i="2"/>
  <c r="F266" i="2"/>
  <c r="E267" i="2"/>
  <c r="F267" i="2"/>
  <c r="E268" i="2"/>
  <c r="F268" i="2"/>
  <c r="E269" i="2"/>
  <c r="F269" i="2"/>
  <c r="E270" i="2"/>
  <c r="F270" i="2"/>
  <c r="E271" i="2"/>
  <c r="F271" i="2"/>
  <c r="E272" i="2"/>
  <c r="F272" i="2"/>
  <c r="E273" i="2"/>
  <c r="F273" i="2"/>
  <c r="E274" i="2"/>
  <c r="F274" i="2"/>
  <c r="E275" i="2"/>
  <c r="F275" i="2"/>
  <c r="E276" i="2"/>
  <c r="F276" i="2"/>
  <c r="F459" i="2"/>
  <c r="E459" i="2"/>
  <c r="F460" i="2"/>
  <c r="E460" i="2"/>
  <c r="F461" i="2"/>
  <c r="E461" i="2"/>
  <c r="F462" i="2"/>
  <c r="E462" i="2"/>
  <c r="F463" i="2"/>
  <c r="E463" i="2"/>
  <c r="E464" i="2"/>
  <c r="F464" i="2"/>
  <c r="E465" i="2"/>
  <c r="F465" i="2"/>
  <c r="F466" i="2"/>
  <c r="E466" i="2"/>
  <c r="F467" i="2"/>
  <c r="E467" i="2"/>
  <c r="E468" i="2"/>
  <c r="F468" i="2"/>
  <c r="E469" i="2"/>
  <c r="F469" i="2"/>
  <c r="F470" i="2"/>
  <c r="E470" i="2"/>
  <c r="F471" i="2"/>
  <c r="E471" i="2"/>
  <c r="F472" i="2"/>
  <c r="E472" i="2"/>
  <c r="F473" i="2"/>
  <c r="E473" i="2"/>
  <c r="F474" i="2"/>
  <c r="E474" i="2"/>
  <c r="F475" i="2"/>
  <c r="E475" i="2"/>
  <c r="F476" i="2"/>
  <c r="E476" i="2"/>
  <c r="E477" i="2"/>
  <c r="F477" i="2"/>
  <c r="F478" i="2"/>
  <c r="E478" i="2"/>
  <c r="E479" i="2"/>
  <c r="F479" i="2"/>
  <c r="E480" i="2"/>
  <c r="F480" i="2"/>
  <c r="F481" i="2"/>
  <c r="E481" i="2"/>
  <c r="E482" i="2"/>
  <c r="F482" i="2"/>
  <c r="E483" i="2"/>
  <c r="F483" i="2"/>
  <c r="F484" i="2"/>
  <c r="E484" i="2"/>
  <c r="F485" i="2"/>
  <c r="E485" i="2"/>
  <c r="F486" i="2"/>
  <c r="E486" i="2"/>
  <c r="F487" i="2"/>
  <c r="E487" i="2"/>
  <c r="F488" i="2"/>
  <c r="E488" i="2"/>
  <c r="F489" i="2"/>
  <c r="E489" i="2"/>
  <c r="F490" i="2"/>
  <c r="E490" i="2"/>
  <c r="F491" i="2"/>
  <c r="E491" i="2"/>
  <c r="F492" i="2"/>
  <c r="E492" i="2"/>
  <c r="E493" i="2"/>
  <c r="F493" i="2"/>
  <c r="F494" i="2"/>
  <c r="E494" i="2"/>
  <c r="F495" i="2"/>
  <c r="E495" i="2"/>
  <c r="F496" i="2"/>
  <c r="E496" i="2"/>
  <c r="F497" i="2"/>
  <c r="E497" i="2"/>
  <c r="F498" i="2"/>
  <c r="E498" i="2"/>
  <c r="F499" i="2"/>
  <c r="E499" i="2"/>
  <c r="F500" i="2"/>
  <c r="E500" i="2"/>
  <c r="F501" i="2"/>
  <c r="E501" i="2"/>
  <c r="F2" i="2"/>
  <c r="E2" i="2"/>
  <c r="E3" i="2"/>
  <c r="F3" i="2"/>
  <c r="E4" i="2"/>
  <c r="F4" i="2"/>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E21" i="2"/>
  <c r="F21" i="2"/>
  <c r="E22" i="2"/>
  <c r="F22" i="2"/>
  <c r="E23" i="2"/>
  <c r="F23" i="2"/>
  <c r="E24" i="2"/>
  <c r="F24" i="2"/>
  <c r="E25" i="2"/>
  <c r="F25" i="2"/>
  <c r="E26" i="2"/>
  <c r="F26" i="2"/>
  <c r="E27" i="2"/>
  <c r="F27" i="2"/>
  <c r="E28" i="2"/>
  <c r="F28" i="2"/>
  <c r="E29" i="2"/>
  <c r="F29" i="2"/>
  <c r="E30" i="2"/>
  <c r="F30" i="2"/>
  <c r="E31" i="2"/>
  <c r="F31" i="2"/>
  <c r="E32" i="2"/>
  <c r="F32" i="2"/>
  <c r="E33" i="2"/>
  <c r="F33" i="2"/>
  <c r="E34" i="2"/>
  <c r="F34" i="2"/>
  <c r="E35" i="2"/>
  <c r="F35" i="2"/>
  <c r="E36" i="2"/>
  <c r="F36" i="2"/>
  <c r="E37" i="2"/>
  <c r="F37" i="2"/>
  <c r="E38" i="2"/>
  <c r="F38" i="2"/>
  <c r="E39" i="2"/>
  <c r="F39" i="2"/>
  <c r="E40" i="2"/>
  <c r="F40" i="2"/>
  <c r="E41" i="2"/>
  <c r="F41" i="2"/>
  <c r="E42" i="2"/>
  <c r="F42" i="2"/>
  <c r="E43" i="2"/>
  <c r="F43" i="2"/>
  <c r="E44" i="2"/>
  <c r="F44" i="2"/>
  <c r="E45" i="2"/>
  <c r="F45" i="2"/>
  <c r="E46" i="2"/>
  <c r="F46" i="2"/>
  <c r="E47" i="2"/>
  <c r="F47" i="2"/>
  <c r="E48" i="2"/>
  <c r="F48" i="2"/>
  <c r="E49" i="2"/>
  <c r="F49" i="2"/>
  <c r="E50" i="2"/>
  <c r="F50" i="2"/>
  <c r="E51" i="2"/>
  <c r="F51" i="2"/>
  <c r="E52" i="2"/>
  <c r="F52" i="2"/>
  <c r="E53" i="2"/>
  <c r="F53" i="2"/>
  <c r="E54" i="2"/>
  <c r="F54" i="2"/>
  <c r="E55" i="2"/>
  <c r="F55" i="2"/>
  <c r="E56" i="2"/>
  <c r="F56" i="2"/>
  <c r="E57" i="2"/>
  <c r="F57" i="2"/>
  <c r="E58" i="2"/>
  <c r="F58" i="2"/>
  <c r="E59" i="2"/>
  <c r="F59" i="2"/>
  <c r="E60" i="2"/>
  <c r="F60" i="2"/>
  <c r="E61" i="2"/>
  <c r="F61" i="2"/>
  <c r="E62" i="2"/>
  <c r="F62" i="2"/>
  <c r="E63" i="2"/>
  <c r="F63" i="2"/>
  <c r="E64" i="2"/>
  <c r="F64" i="2"/>
  <c r="E65" i="2"/>
  <c r="F65" i="2"/>
  <c r="E66" i="2"/>
  <c r="F66"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E85" i="2"/>
  <c r="F85" i="2"/>
  <c r="E86" i="2"/>
  <c r="F86" i="2"/>
  <c r="E87" i="2"/>
  <c r="F87" i="2"/>
  <c r="E88" i="2"/>
  <c r="F88" i="2"/>
  <c r="E89" i="2"/>
  <c r="F89" i="2"/>
  <c r="E90" i="2"/>
  <c r="F90" i="2"/>
  <c r="E91" i="2"/>
  <c r="F91" i="2"/>
  <c r="E92" i="2"/>
  <c r="F92" i="2"/>
  <c r="E93" i="2"/>
  <c r="F93" i="2"/>
  <c r="E94" i="2"/>
  <c r="F94" i="2"/>
  <c r="E95" i="2"/>
  <c r="F95" i="2"/>
  <c r="E96" i="2"/>
  <c r="F96" i="2"/>
  <c r="E97" i="2"/>
  <c r="F97" i="2"/>
  <c r="E98" i="2"/>
  <c r="F98" i="2"/>
  <c r="E99" i="2"/>
  <c r="F99" i="2"/>
  <c r="E100" i="2"/>
  <c r="F100" i="2"/>
  <c r="E101" i="2"/>
  <c r="F101" i="2"/>
  <c r="E102" i="2"/>
  <c r="F102" i="2"/>
  <c r="E103" i="2"/>
  <c r="F103" i="2"/>
  <c r="E104" i="2"/>
  <c r="F104" i="2"/>
  <c r="E105" i="2"/>
  <c r="F105" i="2"/>
  <c r="F106" i="2"/>
  <c r="E106" i="2"/>
  <c r="F107" i="2"/>
  <c r="E107" i="2"/>
  <c r="F108" i="2"/>
  <c r="E108" i="2"/>
  <c r="F109" i="2"/>
  <c r="E109" i="2"/>
  <c r="F110" i="2"/>
  <c r="E110" i="2"/>
  <c r="E111" i="2"/>
  <c r="F111" i="2"/>
  <c r="E112" i="2"/>
  <c r="F112" i="2"/>
  <c r="F113" i="2"/>
  <c r="E113" i="2"/>
  <c r="E114" i="2"/>
  <c r="F114" i="2"/>
  <c r="F115" i="2"/>
  <c r="E115" i="2"/>
  <c r="F116" i="2"/>
  <c r="E116" i="2"/>
  <c r="F117" i="2"/>
  <c r="E117" i="2"/>
  <c r="F118" i="2"/>
  <c r="E118" i="2"/>
  <c r="F119" i="2"/>
  <c r="E119" i="2"/>
  <c r="F120" i="2"/>
  <c r="E120" i="2"/>
  <c r="F121" i="2"/>
  <c r="E121" i="2"/>
  <c r="F122" i="2"/>
  <c r="E122" i="2"/>
  <c r="F123" i="2"/>
  <c r="E123" i="2"/>
  <c r="F124" i="2"/>
  <c r="E124" i="2"/>
  <c r="F125" i="2"/>
  <c r="E125" i="2"/>
  <c r="F126" i="2"/>
  <c r="E126" i="2"/>
  <c r="F127" i="2"/>
  <c r="E127" i="2"/>
  <c r="F128" i="2"/>
  <c r="E128" i="2"/>
  <c r="F129" i="2"/>
  <c r="E129" i="2"/>
  <c r="F130" i="2"/>
  <c r="E130" i="2"/>
  <c r="F131" i="2"/>
  <c r="E131" i="2"/>
  <c r="F132" i="2"/>
  <c r="E132" i="2"/>
  <c r="F133" i="2"/>
  <c r="E133" i="2"/>
  <c r="F134" i="2"/>
  <c r="E134" i="2"/>
  <c r="E135" i="2"/>
  <c r="F135" i="2"/>
  <c r="F136" i="2"/>
  <c r="E136" i="2"/>
  <c r="F137" i="2"/>
  <c r="E137" i="2"/>
  <c r="F138" i="2"/>
  <c r="E138" i="2"/>
  <c r="F139" i="2"/>
  <c r="E139" i="2"/>
  <c r="F140" i="2"/>
  <c r="E140" i="2"/>
  <c r="E141" i="2"/>
  <c r="F141" i="2"/>
  <c r="F142" i="2"/>
  <c r="E142" i="2"/>
  <c r="E143" i="2"/>
  <c r="F143" i="2"/>
  <c r="F144" i="2"/>
  <c r="E144" i="2"/>
  <c r="E145" i="2"/>
  <c r="F145" i="2"/>
  <c r="F146" i="2"/>
  <c r="E146" i="2"/>
  <c r="E147" i="2"/>
  <c r="F147" i="2"/>
  <c r="E148" i="2"/>
  <c r="F148" i="2"/>
  <c r="E149" i="2"/>
  <c r="F149" i="2"/>
  <c r="E150" i="2"/>
  <c r="F150" i="2"/>
  <c r="E151" i="2"/>
  <c r="F151" i="2"/>
  <c r="E152" i="2"/>
  <c r="F152" i="2"/>
  <c r="E153" i="2"/>
  <c r="F153" i="2"/>
  <c r="E154" i="2"/>
  <c r="F154" i="2"/>
  <c r="E155" i="2"/>
  <c r="F155" i="2"/>
  <c r="E156" i="2"/>
  <c r="F156" i="2"/>
  <c r="F157" i="2"/>
  <c r="E157" i="2"/>
  <c r="F158" i="2"/>
  <c r="E158" i="2"/>
  <c r="F159" i="2"/>
  <c r="E159" i="2"/>
  <c r="F160" i="2"/>
  <c r="E160" i="2"/>
  <c r="F161" i="2"/>
  <c r="E161" i="2"/>
  <c r="F162" i="2"/>
  <c r="E162" i="2"/>
  <c r="F163" i="2"/>
  <c r="E163" i="2"/>
  <c r="F164" i="2"/>
  <c r="E164" i="2"/>
  <c r="F165" i="2"/>
  <c r="E165" i="2"/>
  <c r="F166" i="2"/>
  <c r="E166" i="2"/>
  <c r="F167" i="2"/>
  <c r="E167" i="2"/>
  <c r="F168" i="2"/>
  <c r="E168" i="2"/>
  <c r="F169" i="2"/>
  <c r="E169" i="2"/>
  <c r="F170" i="2"/>
  <c r="E170" i="2"/>
  <c r="F171" i="2"/>
  <c r="E171" i="2"/>
  <c r="F172" i="2"/>
  <c r="E172" i="2"/>
  <c r="F173" i="2"/>
  <c r="E173" i="2"/>
  <c r="F174" i="2"/>
  <c r="E174" i="2"/>
  <c r="F175" i="2"/>
  <c r="E175" i="2"/>
  <c r="F176" i="2"/>
  <c r="E176" i="2"/>
  <c r="F177" i="2"/>
  <c r="E177" i="2"/>
  <c r="F178" i="2"/>
  <c r="E178" i="2"/>
  <c r="F179" i="2"/>
  <c r="E179" i="2"/>
  <c r="F180" i="2"/>
  <c r="E180" i="2"/>
  <c r="F181" i="2"/>
  <c r="E181" i="2"/>
  <c r="F182" i="2"/>
  <c r="E182" i="2"/>
  <c r="F183" i="2"/>
  <c r="E183" i="2"/>
  <c r="F184" i="2"/>
  <c r="E184" i="2"/>
  <c r="F185" i="2"/>
  <c r="E185" i="2"/>
  <c r="E186" i="2"/>
  <c r="F186" i="2"/>
  <c r="E187" i="2"/>
  <c r="F187" i="2"/>
  <c r="E188" i="2"/>
  <c r="F188" i="2"/>
  <c r="E189" i="2"/>
  <c r="F189" i="2"/>
  <c r="F190" i="2"/>
  <c r="E190" i="2"/>
  <c r="F191" i="2"/>
  <c r="E191" i="2"/>
  <c r="F192" i="2"/>
  <c r="E192" i="2"/>
  <c r="F193" i="2"/>
  <c r="E193" i="2"/>
  <c r="E194" i="2"/>
  <c r="F194" i="2"/>
  <c r="F195" i="2"/>
  <c r="E195" i="2"/>
  <c r="E196" i="2"/>
  <c r="F196" i="2"/>
  <c r="E197" i="2"/>
  <c r="F197" i="2"/>
  <c r="E198" i="2"/>
  <c r="F198" i="2"/>
  <c r="E199" i="2"/>
  <c r="F199" i="2"/>
  <c r="F200" i="2"/>
  <c r="E200" i="2"/>
  <c r="E201" i="2"/>
  <c r="F201" i="2"/>
  <c r="E202" i="2"/>
  <c r="F202" i="2"/>
  <c r="E203" i="2"/>
  <c r="F203" i="2"/>
  <c r="E204" i="2"/>
  <c r="F204" i="2"/>
  <c r="E205" i="2"/>
  <c r="F205" i="2"/>
  <c r="E206" i="2"/>
  <c r="F206" i="2"/>
  <c r="E207" i="2"/>
  <c r="F207" i="2"/>
  <c r="E208" i="2"/>
  <c r="F208" i="2"/>
  <c r="E209" i="2"/>
  <c r="F209" i="2"/>
  <c r="E210" i="2"/>
  <c r="F210" i="2"/>
  <c r="E211" i="2"/>
  <c r="F211" i="2"/>
  <c r="E212" i="2"/>
  <c r="F212" i="2"/>
  <c r="E213" i="2"/>
  <c r="F213" i="2"/>
  <c r="E214" i="2"/>
  <c r="F214" i="2"/>
  <c r="E215" i="2"/>
  <c r="F215" i="2"/>
  <c r="E216" i="2"/>
  <c r="F216" i="2"/>
  <c r="E217" i="2"/>
  <c r="F217" i="2"/>
  <c r="E218" i="2"/>
  <c r="F218" i="2"/>
  <c r="E219" i="2"/>
  <c r="F219" i="2"/>
  <c r="E220" i="2"/>
  <c r="F220" i="2"/>
  <c r="E221" i="2"/>
  <c r="F221" i="2"/>
  <c r="E222" i="2"/>
  <c r="F222" i="2"/>
  <c r="E223" i="2"/>
  <c r="F223" i="2"/>
  <c r="E224" i="2"/>
  <c r="F224" i="2"/>
  <c r="E225" i="2"/>
  <c r="F225" i="2"/>
  <c r="E226" i="2"/>
  <c r="F226" i="2"/>
  <c r="E227" i="2"/>
  <c r="F227" i="2"/>
  <c r="E228" i="2"/>
  <c r="F228" i="2"/>
  <c r="E229" i="2"/>
  <c r="F229" i="2"/>
  <c r="E230" i="2"/>
  <c r="F230" i="2"/>
  <c r="E231" i="2"/>
  <c r="F231" i="2"/>
  <c r="E232" i="2"/>
  <c r="F232" i="2"/>
  <c r="E233" i="2"/>
  <c r="F233" i="2"/>
  <c r="E234" i="2"/>
  <c r="F234" i="2"/>
  <c r="E235" i="2"/>
  <c r="F235" i="2"/>
  <c r="E236" i="2"/>
  <c r="F236" i="2"/>
  <c r="E237" i="2"/>
  <c r="F237" i="2"/>
  <c r="E238" i="2"/>
  <c r="F238" i="2"/>
  <c r="E239" i="2"/>
  <c r="F239" i="2"/>
  <c r="E240" i="2"/>
  <c r="F240" i="2"/>
  <c r="E241" i="2"/>
  <c r="F241" i="2"/>
  <c r="E242" i="2"/>
  <c r="F242" i="2"/>
  <c r="E243" i="2"/>
  <c r="F243" i="2"/>
  <c r="E244" i="2"/>
  <c r="F244" i="2"/>
  <c r="E245" i="2"/>
  <c r="F245" i="2"/>
  <c r="E246" i="2"/>
  <c r="F246" i="2"/>
  <c r="E247" i="2"/>
  <c r="F247" i="2"/>
  <c r="E248" i="2"/>
  <c r="F248" i="2"/>
  <c r="E249" i="2"/>
  <c r="F249" i="2"/>
  <c r="E250" i="2"/>
  <c r="F250" i="2"/>
  <c r="E277" i="2"/>
  <c r="F277" i="2"/>
  <c r="E278" i="2"/>
  <c r="F278" i="2"/>
  <c r="E279" i="2"/>
  <c r="F279" i="2"/>
  <c r="E280" i="2"/>
  <c r="F280" i="2"/>
  <c r="E281" i="2"/>
  <c r="F281" i="2"/>
  <c r="E282" i="2"/>
  <c r="F282" i="2"/>
  <c r="E283" i="2"/>
  <c r="F283" i="2"/>
  <c r="E284" i="2"/>
  <c r="F284" i="2"/>
  <c r="E285" i="2"/>
  <c r="F285" i="2"/>
  <c r="E286" i="2"/>
  <c r="F286" i="2"/>
  <c r="E287" i="2"/>
  <c r="F287" i="2"/>
  <c r="E288" i="2"/>
  <c r="F288" i="2"/>
  <c r="E289" i="2"/>
  <c r="F289" i="2"/>
  <c r="E290" i="2"/>
  <c r="F290" i="2"/>
  <c r="E291" i="2"/>
  <c r="F291" i="2"/>
  <c r="E292" i="2"/>
  <c r="F292" i="2"/>
  <c r="E293" i="2"/>
  <c r="F293" i="2"/>
  <c r="E294" i="2"/>
  <c r="F294" i="2"/>
  <c r="E295" i="2"/>
  <c r="F295" i="2"/>
  <c r="E296" i="2"/>
  <c r="F296" i="2"/>
  <c r="E297" i="2"/>
  <c r="F297" i="2"/>
  <c r="E298" i="2"/>
  <c r="F298" i="2"/>
  <c r="E299" i="2"/>
  <c r="F299" i="2"/>
  <c r="E300" i="2"/>
  <c r="F300" i="2"/>
  <c r="E301" i="2"/>
  <c r="F301" i="2"/>
  <c r="E302" i="2"/>
  <c r="F302" i="2"/>
  <c r="E303" i="2"/>
  <c r="F303" i="2"/>
  <c r="E304" i="2"/>
  <c r="F304" i="2"/>
  <c r="E305" i="2"/>
  <c r="F305" i="2"/>
  <c r="E306" i="2"/>
  <c r="F306" i="2"/>
  <c r="E307" i="2"/>
  <c r="F307" i="2"/>
  <c r="E308" i="2"/>
  <c r="F308" i="2"/>
  <c r="E309" i="2"/>
  <c r="F309" i="2"/>
  <c r="E310" i="2"/>
  <c r="F310" i="2"/>
  <c r="E311" i="2"/>
  <c r="F311" i="2"/>
  <c r="E312" i="2"/>
  <c r="F312" i="2"/>
  <c r="E313" i="2"/>
  <c r="F313" i="2"/>
  <c r="E314" i="2"/>
  <c r="F314" i="2"/>
  <c r="E315" i="2"/>
  <c r="F315" i="2"/>
  <c r="E316" i="2"/>
  <c r="F316" i="2"/>
  <c r="E317" i="2"/>
  <c r="F317" i="2"/>
  <c r="E318" i="2"/>
  <c r="F318" i="2"/>
  <c r="E319" i="2"/>
  <c r="F319" i="2"/>
  <c r="E320" i="2"/>
  <c r="F320" i="2"/>
  <c r="E321" i="2"/>
  <c r="F321" i="2"/>
  <c r="E322" i="2"/>
  <c r="F322" i="2"/>
  <c r="E323" i="2"/>
  <c r="F323" i="2"/>
  <c r="E324" i="2"/>
  <c r="F324" i="2"/>
  <c r="E325" i="2"/>
  <c r="F325" i="2"/>
  <c r="E326" i="2"/>
  <c r="F326" i="2"/>
  <c r="E327" i="2"/>
  <c r="F327" i="2"/>
  <c r="E328" i="2"/>
  <c r="F328" i="2"/>
  <c r="E329" i="2"/>
  <c r="F329" i="2"/>
  <c r="E330" i="2"/>
  <c r="F330" i="2"/>
  <c r="E331" i="2"/>
  <c r="F331" i="2"/>
  <c r="E332" i="2"/>
  <c r="F332" i="2"/>
  <c r="E333" i="2"/>
  <c r="F333" i="2"/>
  <c r="E334" i="2"/>
  <c r="F334" i="2"/>
  <c r="E335" i="2"/>
  <c r="F335" i="2"/>
  <c r="E336" i="2"/>
  <c r="F336" i="2"/>
  <c r="E337" i="2"/>
  <c r="F337" i="2"/>
  <c r="E338" i="2"/>
  <c r="F338" i="2"/>
  <c r="E339" i="2"/>
  <c r="F339" i="2"/>
  <c r="E340" i="2"/>
  <c r="F340" i="2"/>
  <c r="E341" i="2"/>
  <c r="F341" i="2"/>
  <c r="E342" i="2"/>
  <c r="F342" i="2"/>
  <c r="E343" i="2"/>
  <c r="F343" i="2"/>
  <c r="E344" i="2"/>
  <c r="F344" i="2"/>
  <c r="E345" i="2"/>
  <c r="F345" i="2"/>
  <c r="E346" i="2"/>
  <c r="F346" i="2"/>
  <c r="E347" i="2"/>
  <c r="F347" i="2"/>
  <c r="E348" i="2"/>
  <c r="F348" i="2"/>
  <c r="E349" i="2"/>
  <c r="F349" i="2"/>
  <c r="E350" i="2"/>
  <c r="F350" i="2"/>
  <c r="E351" i="2"/>
  <c r="F351" i="2"/>
  <c r="E352" i="2"/>
  <c r="F352" i="2"/>
  <c r="E353" i="2"/>
  <c r="F353" i="2"/>
  <c r="E354" i="2"/>
  <c r="F354" i="2"/>
  <c r="E355" i="2"/>
  <c r="F355" i="2"/>
  <c r="E356" i="2"/>
  <c r="F356" i="2"/>
  <c r="E357" i="2"/>
  <c r="F357" i="2"/>
  <c r="E358" i="2"/>
  <c r="F358" i="2"/>
  <c r="E359" i="2"/>
  <c r="F359" i="2"/>
  <c r="E360" i="2"/>
  <c r="F360" i="2"/>
  <c r="E361" i="2"/>
  <c r="F361" i="2"/>
  <c r="E362" i="2"/>
  <c r="F362" i="2"/>
  <c r="E363" i="2"/>
  <c r="F363" i="2"/>
  <c r="E364" i="2"/>
  <c r="F364" i="2"/>
  <c r="E365" i="2"/>
  <c r="F365" i="2"/>
  <c r="E366" i="2"/>
  <c r="F366" i="2"/>
  <c r="E367" i="2"/>
  <c r="F367" i="2"/>
  <c r="E368" i="2"/>
  <c r="F368" i="2"/>
  <c r="E369" i="2"/>
  <c r="F369" i="2"/>
  <c r="E370" i="2"/>
  <c r="F370" i="2"/>
  <c r="E371" i="2"/>
  <c r="F371" i="2"/>
  <c r="E372" i="2"/>
  <c r="F372" i="2"/>
  <c r="E373" i="2"/>
  <c r="F373" i="2"/>
  <c r="E374" i="2"/>
  <c r="F374" i="2"/>
  <c r="E375" i="2"/>
  <c r="F375" i="2"/>
  <c r="E376" i="2"/>
  <c r="F376" i="2"/>
  <c r="E377" i="2"/>
  <c r="F377" i="2"/>
  <c r="E378" i="2"/>
  <c r="F378" i="2"/>
  <c r="E379" i="2"/>
  <c r="F379" i="2"/>
  <c r="E380" i="2"/>
  <c r="F380" i="2"/>
  <c r="E381" i="2"/>
  <c r="F381" i="2"/>
  <c r="E382" i="2"/>
  <c r="F382" i="2"/>
  <c r="E383" i="2"/>
  <c r="F383" i="2"/>
  <c r="E384" i="2"/>
  <c r="F384" i="2"/>
  <c r="E385" i="2"/>
  <c r="F385" i="2"/>
  <c r="E386" i="2"/>
  <c r="F386" i="2"/>
  <c r="E387" i="2"/>
  <c r="F387" i="2"/>
  <c r="E388" i="2"/>
  <c r="F388" i="2"/>
  <c r="E389" i="2"/>
  <c r="F389" i="2"/>
  <c r="E390" i="2"/>
  <c r="F390" i="2"/>
  <c r="E391" i="2"/>
  <c r="F391" i="2"/>
  <c r="E392" i="2"/>
  <c r="F392" i="2"/>
  <c r="E393" i="2"/>
  <c r="F393" i="2"/>
  <c r="E394" i="2"/>
  <c r="F394" i="2"/>
  <c r="E395" i="2"/>
  <c r="F395" i="2"/>
  <c r="E396" i="2"/>
  <c r="F396" i="2"/>
  <c r="E397" i="2"/>
  <c r="F397" i="2"/>
  <c r="E398" i="2"/>
  <c r="F398" i="2"/>
  <c r="E399" i="2"/>
  <c r="F399" i="2"/>
  <c r="E400" i="2"/>
  <c r="F400" i="2"/>
  <c r="E401" i="2"/>
  <c r="F401" i="2"/>
  <c r="E402" i="2"/>
  <c r="F402" i="2"/>
  <c r="E403" i="2"/>
  <c r="F403" i="2"/>
  <c r="E404" i="2"/>
  <c r="F404" i="2"/>
  <c r="E405" i="2"/>
  <c r="F405" i="2"/>
  <c r="E406" i="2"/>
  <c r="F406" i="2"/>
  <c r="E407" i="2"/>
  <c r="F407" i="2"/>
  <c r="E408" i="2"/>
  <c r="F408" i="2"/>
  <c r="E409" i="2"/>
  <c r="F409" i="2"/>
  <c r="E410" i="2"/>
  <c r="F410" i="2"/>
  <c r="F411" i="2"/>
  <c r="E411" i="2"/>
  <c r="F412" i="2"/>
  <c r="E412" i="2"/>
  <c r="F413" i="2"/>
  <c r="E413" i="2"/>
  <c r="F414" i="2"/>
  <c r="E414" i="2"/>
  <c r="F415" i="2"/>
  <c r="E415" i="2"/>
  <c r="F416" i="2"/>
  <c r="E416" i="2"/>
  <c r="F417" i="2"/>
  <c r="E417" i="2"/>
  <c r="F418" i="2"/>
  <c r="E418" i="2"/>
  <c r="F419" i="2"/>
  <c r="E419" i="2"/>
  <c r="F420" i="2"/>
  <c r="E420" i="2"/>
  <c r="E421" i="2"/>
  <c r="F421" i="2"/>
  <c r="E422" i="2"/>
  <c r="F422" i="2"/>
  <c r="E423" i="2"/>
  <c r="F423" i="2"/>
  <c r="E424" i="2"/>
  <c r="F424" i="2"/>
  <c r="E425" i="2"/>
  <c r="F425" i="2"/>
  <c r="F426" i="2"/>
  <c r="E426" i="2"/>
  <c r="E427" i="2"/>
  <c r="F427" i="2"/>
  <c r="E428" i="2"/>
  <c r="F428" i="2"/>
  <c r="E429" i="2"/>
  <c r="F429" i="2"/>
  <c r="E430" i="2"/>
  <c r="F430" i="2"/>
  <c r="F431" i="2"/>
  <c r="E431" i="2"/>
  <c r="F432" i="2"/>
  <c r="E432" i="2"/>
  <c r="E433" i="2"/>
  <c r="F433" i="2"/>
  <c r="E434" i="2"/>
  <c r="F434" i="2"/>
  <c r="F435" i="2"/>
  <c r="E435" i="2"/>
  <c r="F436" i="2"/>
  <c r="E436" i="2"/>
  <c r="F437" i="2"/>
  <c r="E437" i="2"/>
  <c r="F438" i="2"/>
  <c r="E438" i="2"/>
  <c r="F439" i="2"/>
  <c r="E439" i="2"/>
  <c r="F440" i="2"/>
  <c r="E440" i="2"/>
  <c r="E441" i="2"/>
  <c r="F441" i="2"/>
  <c r="E442" i="2"/>
  <c r="F442" i="2"/>
  <c r="E443" i="2"/>
  <c r="F443" i="2"/>
  <c r="F444" i="2"/>
  <c r="E444" i="2"/>
  <c r="E445" i="2"/>
  <c r="F445" i="2"/>
  <c r="F446" i="2"/>
  <c r="E446" i="2"/>
  <c r="E447" i="2"/>
  <c r="F447" i="2"/>
  <c r="F448" i="2"/>
  <c r="E448" i="2"/>
  <c r="E449" i="2"/>
  <c r="F449" i="2"/>
  <c r="F450" i="2"/>
  <c r="E450" i="2"/>
  <c r="E451" i="2"/>
  <c r="F451" i="2"/>
  <c r="F452" i="2"/>
  <c r="E452" i="2"/>
  <c r="E453" i="2"/>
  <c r="F453" i="2"/>
  <c r="F454" i="2"/>
  <c r="E454" i="2"/>
  <c r="F455" i="2"/>
  <c r="E455" i="2"/>
  <c r="F456" i="2"/>
  <c r="E456" i="2"/>
  <c r="F457" i="2"/>
  <c r="E457" i="2"/>
  <c r="F458" i="2"/>
  <c r="E458" i="2"/>
  <c r="CS44" i="4" l="1"/>
  <c r="CS41" i="4"/>
  <c r="CS46" i="4" s="1"/>
  <c r="CS4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 authorId="0" shapeId="0" xr:uid="{CE59C7FA-C774-44C1-ADFB-C723C4E87B9F}">
      <text>
        <r>
          <rPr>
            <b/>
            <sz val="9"/>
            <color indexed="81"/>
            <rFont val="Tahoma"/>
            <family val="2"/>
          </rPr>
          <t>PC:</t>
        </r>
        <r>
          <rPr>
            <sz val="9"/>
            <color indexed="81"/>
            <rFont val="Tahoma"/>
            <family val="2"/>
          </rPr>
          <t xml:space="preserve">
The Red Lebels indicates duplicated Order_ID</t>
        </r>
      </text>
    </comment>
    <comment ref="I1" authorId="0" shapeId="0" xr:uid="{14D23B86-9852-40D7-8C82-B450613AE343}">
      <text>
        <r>
          <rPr>
            <b/>
            <sz val="9"/>
            <color indexed="81"/>
            <rFont val="Tahoma"/>
            <family val="2"/>
          </rPr>
          <t>PC:</t>
        </r>
        <r>
          <rPr>
            <sz val="9"/>
            <color indexed="81"/>
            <rFont val="Tahoma"/>
            <family val="2"/>
          </rPr>
          <t xml:space="preserve">
The Red Labels indicates Supplier whoose cell was blank</t>
        </r>
      </text>
    </comment>
    <comment ref="N1" authorId="0" shapeId="0" xr:uid="{A1FC5607-07BF-49AB-80F3-DACCA3A39F43}">
      <text>
        <r>
          <rPr>
            <b/>
            <sz val="9"/>
            <color indexed="81"/>
            <rFont val="Tahoma"/>
            <family val="2"/>
          </rPr>
          <t>PC:</t>
        </r>
        <r>
          <rPr>
            <sz val="9"/>
            <color indexed="81"/>
            <rFont val="Tahoma"/>
            <family val="2"/>
          </rPr>
          <t xml:space="preserve">
The Red Labels indicates Warehouse whoose cell was blank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<sst xmlns="http://schemas.openxmlformats.org/spreadsheetml/2006/main" count="6758" uniqueCount="562">
  <si>
    <t>Order_ID</t>
  </si>
  <si>
    <t>Order_Date</t>
  </si>
  <si>
    <t>Supplier</t>
  </si>
  <si>
    <t>Product</t>
  </si>
  <si>
    <t>Quantity</t>
  </si>
  <si>
    <t>Unit_Price</t>
  </si>
  <si>
    <t>Delivery_Days</t>
  </si>
  <si>
    <t>Warehouse</t>
  </si>
  <si>
    <t>Customer_Region</t>
  </si>
  <si>
    <t>Order_Status</t>
  </si>
  <si>
    <t>APX1273</t>
  </si>
  <si>
    <t>Nestle</t>
  </si>
  <si>
    <t>lap top</t>
  </si>
  <si>
    <t>Thirty</t>
  </si>
  <si>
    <t>South-West</t>
  </si>
  <si>
    <t>Pending</t>
  </si>
  <si>
    <t>APX1357</t>
  </si>
  <si>
    <t>Unilever</t>
  </si>
  <si>
    <t>lagos</t>
  </si>
  <si>
    <t>south south</t>
  </si>
  <si>
    <t>DELIVERED</t>
  </si>
  <si>
    <t>APX1176</t>
  </si>
  <si>
    <t>Mar 11 2025</t>
  </si>
  <si>
    <t>PZ</t>
  </si>
  <si>
    <t>Three</t>
  </si>
  <si>
    <t>Delivered</t>
  </si>
  <si>
    <t>APX1213</t>
  </si>
  <si>
    <t>DANGOTE</t>
  </si>
  <si>
    <t>Cement</t>
  </si>
  <si>
    <t xml:space="preserve">Abuja </t>
  </si>
  <si>
    <t>Deliverd</t>
  </si>
  <si>
    <t>25-04-2025</t>
  </si>
  <si>
    <t>Laptop</t>
  </si>
  <si>
    <t>Delievered</t>
  </si>
  <si>
    <t>APX1412</t>
  </si>
  <si>
    <t>21-05-2025</t>
  </si>
  <si>
    <t>Dangote</t>
  </si>
  <si>
    <t>Laptop Computer</t>
  </si>
  <si>
    <t>APX1194</t>
  </si>
  <si>
    <t>Noodles</t>
  </si>
  <si>
    <t>Port Harcourt</t>
  </si>
  <si>
    <t>SS</t>
  </si>
  <si>
    <t>Returned</t>
  </si>
  <si>
    <t>APX1050</t>
  </si>
  <si>
    <t>South South</t>
  </si>
  <si>
    <t>APX1277</t>
  </si>
  <si>
    <t>North East</t>
  </si>
  <si>
    <t>APX1336</t>
  </si>
  <si>
    <t>bua</t>
  </si>
  <si>
    <t>PortHarcourt</t>
  </si>
  <si>
    <t>Southsouth</t>
  </si>
  <si>
    <t>APX1049</t>
  </si>
  <si>
    <t>APX1309</t>
  </si>
  <si>
    <t xml:space="preserve"> Kano</t>
  </si>
  <si>
    <t>Aug 30 2025</t>
  </si>
  <si>
    <t>APX1271</t>
  </si>
  <si>
    <t>Dec 05 2025</t>
  </si>
  <si>
    <t>BUA</t>
  </si>
  <si>
    <t>APX1207</t>
  </si>
  <si>
    <t>Nov 23 2025</t>
  </si>
  <si>
    <t>APX1011</t>
  </si>
  <si>
    <t>APX1088</t>
  </si>
  <si>
    <t>APX1413</t>
  </si>
  <si>
    <t>24-12-2025</t>
  </si>
  <si>
    <t>Soap</t>
  </si>
  <si>
    <t>APX1294</t>
  </si>
  <si>
    <t>18-10-2025</t>
  </si>
  <si>
    <t>PH</t>
  </si>
  <si>
    <t>APX1279</t>
  </si>
  <si>
    <t>Jul 17 2025</t>
  </si>
  <si>
    <t>Lagos</t>
  </si>
  <si>
    <t>APX1377</t>
  </si>
  <si>
    <t>APX1246</t>
  </si>
  <si>
    <t>Sugar</t>
  </si>
  <si>
    <t>Cancelled</t>
  </si>
  <si>
    <t>Nov 01 2025</t>
  </si>
  <si>
    <t>Dangote Plc</t>
  </si>
  <si>
    <t>APX1322</t>
  </si>
  <si>
    <t>N6500</t>
  </si>
  <si>
    <t>APX1393</t>
  </si>
  <si>
    <t>APX1046</t>
  </si>
  <si>
    <t>APX1235</t>
  </si>
  <si>
    <t>Jun 15 2025</t>
  </si>
  <si>
    <t>APX1293</t>
  </si>
  <si>
    <t>Jul 20 2025</t>
  </si>
  <si>
    <t>APX1287</t>
  </si>
  <si>
    <t>Nov 13 2025</t>
  </si>
  <si>
    <t>APX1300</t>
  </si>
  <si>
    <t>APX1224</t>
  </si>
  <si>
    <t>Rice</t>
  </si>
  <si>
    <t>APX1340</t>
  </si>
  <si>
    <t>Dec 28 2025</t>
  </si>
  <si>
    <t>APX1232</t>
  </si>
  <si>
    <t>APX1297</t>
  </si>
  <si>
    <t>APX1366</t>
  </si>
  <si>
    <t>APX1170</t>
  </si>
  <si>
    <t>APX1024</t>
  </si>
  <si>
    <t>Dec 17 2025</t>
  </si>
  <si>
    <t>APX1392</t>
  </si>
  <si>
    <t>30-04-2025</t>
  </si>
  <si>
    <t>APX1023</t>
  </si>
  <si>
    <t>APX1003</t>
  </si>
  <si>
    <t>APX1358</t>
  </si>
  <si>
    <t>APX1169</t>
  </si>
  <si>
    <t>18-11-2025</t>
  </si>
  <si>
    <t>APX1417</t>
  </si>
  <si>
    <t>APX1352</t>
  </si>
  <si>
    <t>APX1223</t>
  </si>
  <si>
    <t>Jan 15 2025</t>
  </si>
  <si>
    <t>APX1082</t>
  </si>
  <si>
    <t>13-06-2025</t>
  </si>
  <si>
    <t>APX1141</t>
  </si>
  <si>
    <t>Dec 11 2025</t>
  </si>
  <si>
    <t>APX1190</t>
  </si>
  <si>
    <t>APX1261</t>
  </si>
  <si>
    <t>APX1386</t>
  </si>
  <si>
    <t>Jan 16 2025</t>
  </si>
  <si>
    <t>APX1362</t>
  </si>
  <si>
    <t>May 29 2025</t>
  </si>
  <si>
    <t>APX1423</t>
  </si>
  <si>
    <t>Dec 12 2025</t>
  </si>
  <si>
    <t>15-12-2025</t>
  </si>
  <si>
    <t>APX1204</t>
  </si>
  <si>
    <t>Jun 23 2025</t>
  </si>
  <si>
    <t>APX1105</t>
  </si>
  <si>
    <t>APX1254</t>
  </si>
  <si>
    <t>APX1363</t>
  </si>
  <si>
    <t>Jan 28 2025</t>
  </si>
  <si>
    <t>APX1265</t>
  </si>
  <si>
    <t>15-06-2025</t>
  </si>
  <si>
    <t>APX1251</t>
  </si>
  <si>
    <t>May 10 2025</t>
  </si>
  <si>
    <t>Jul 10 2025</t>
  </si>
  <si>
    <t>APX1007</t>
  </si>
  <si>
    <t>14-10-2025</t>
  </si>
  <si>
    <t>APX1145</t>
  </si>
  <si>
    <t>APX1114</t>
  </si>
  <si>
    <t>APX1218</t>
  </si>
  <si>
    <t>Jul 29 2025</t>
  </si>
  <si>
    <t>APX1065</t>
  </si>
  <si>
    <t>APX1071</t>
  </si>
  <si>
    <t>APX1264</t>
  </si>
  <si>
    <t>APX1203</t>
  </si>
  <si>
    <t>Dec 23 2025</t>
  </si>
  <si>
    <t>APX1031</t>
  </si>
  <si>
    <t>APX1311</t>
  </si>
  <si>
    <t>Nov 21 2025</t>
  </si>
  <si>
    <t>APX1219</t>
  </si>
  <si>
    <t>APX1175</t>
  </si>
  <si>
    <t>APX1391</t>
  </si>
  <si>
    <t>May 07 2025</t>
  </si>
  <si>
    <t>APX1307</t>
  </si>
  <si>
    <t>Apr 14 2025</t>
  </si>
  <si>
    <t>16-12-2025</t>
  </si>
  <si>
    <t>APX1263</t>
  </si>
  <si>
    <t>14-07-2025</t>
  </si>
  <si>
    <t>APX1364</t>
  </si>
  <si>
    <t>Sep 30 2025</t>
  </si>
  <si>
    <t>APX1375</t>
  </si>
  <si>
    <t>APX1281</t>
  </si>
  <si>
    <t>APX1112</t>
  </si>
  <si>
    <t>APX1084</t>
  </si>
  <si>
    <t>APX1308</t>
  </si>
  <si>
    <t>APX1044</t>
  </si>
  <si>
    <t>APX1314</t>
  </si>
  <si>
    <t>APX1325</t>
  </si>
  <si>
    <t>Jul 09 2025</t>
  </si>
  <si>
    <t>APX1081</t>
  </si>
  <si>
    <t>APX1348</t>
  </si>
  <si>
    <t>29-01-2025</t>
  </si>
  <si>
    <t>APX1140</t>
  </si>
  <si>
    <t>Jun 21 2025</t>
  </si>
  <si>
    <t>APX1013</t>
  </si>
  <si>
    <t>APX1418</t>
  </si>
  <si>
    <t>Aug 03 2025</t>
  </si>
  <si>
    <t>APX1028</t>
  </si>
  <si>
    <t>APX1150</t>
  </si>
  <si>
    <t>APX1102</t>
  </si>
  <si>
    <t>APX1403</t>
  </si>
  <si>
    <t>Apr 17 2025</t>
  </si>
  <si>
    <t>APX1408</t>
  </si>
  <si>
    <t>APX1382</t>
  </si>
  <si>
    <t>Sep 16 2025</t>
  </si>
  <si>
    <t>Sep 07 2025</t>
  </si>
  <si>
    <t>APX1385</t>
  </si>
  <si>
    <t>APX1398</t>
  </si>
  <si>
    <t>15-10-2025</t>
  </si>
  <si>
    <t>APX1029</t>
  </si>
  <si>
    <t>Feb 03 2025</t>
  </si>
  <si>
    <t>APX1405</t>
  </si>
  <si>
    <t>Mar 07 2025</t>
  </si>
  <si>
    <t>APX1093</t>
  </si>
  <si>
    <t>APX1033</t>
  </si>
  <si>
    <t>APX1083</t>
  </si>
  <si>
    <t>Oct 10 2025</t>
  </si>
  <si>
    <t>APX1241</t>
  </si>
  <si>
    <t>19-05-2025</t>
  </si>
  <si>
    <t>APX1000</t>
  </si>
  <si>
    <t>APX1404</t>
  </si>
  <si>
    <t>APX1184</t>
  </si>
  <si>
    <t>APX1384</t>
  </si>
  <si>
    <t>APX1130</t>
  </si>
  <si>
    <t>Apr 11 2025</t>
  </si>
  <si>
    <t>APX1026</t>
  </si>
  <si>
    <t>19-02-2025</t>
  </si>
  <si>
    <t>APX1370</t>
  </si>
  <si>
    <t>Mar 17 2025</t>
  </si>
  <si>
    <t>APX1199</t>
  </si>
  <si>
    <t>Jul 25 2025</t>
  </si>
  <si>
    <t>APX1006</t>
  </si>
  <si>
    <t>31-08-2025</t>
  </si>
  <si>
    <t>APX1421</t>
  </si>
  <si>
    <t>APX1394</t>
  </si>
  <si>
    <t>Sep 09 2025</t>
  </si>
  <si>
    <t>APX1146</t>
  </si>
  <si>
    <t>15-11-2025</t>
  </si>
  <si>
    <t>APX1331</t>
  </si>
  <si>
    <t>APX1401</t>
  </si>
  <si>
    <t>22-01-2025</t>
  </si>
  <si>
    <t>APX1009</t>
  </si>
  <si>
    <t>22-05-2025</t>
  </si>
  <si>
    <t>APX1330</t>
  </si>
  <si>
    <t>APX1369</t>
  </si>
  <si>
    <t>Apr 29 2025</t>
  </si>
  <si>
    <t>APX1210</t>
  </si>
  <si>
    <t>APX1135</t>
  </si>
  <si>
    <t>24-06-2025</t>
  </si>
  <si>
    <t>APX1284</t>
  </si>
  <si>
    <t>Aug 02 2025</t>
  </si>
  <si>
    <t>APX1288</t>
  </si>
  <si>
    <t>APX1268</t>
  </si>
  <si>
    <t>APX1215</t>
  </si>
  <si>
    <t>APX1266</t>
  </si>
  <si>
    <t>27-02-2025</t>
  </si>
  <si>
    <t>APX1380</t>
  </si>
  <si>
    <t>APX1282</t>
  </si>
  <si>
    <t>APX1225</t>
  </si>
  <si>
    <t>APX1360</t>
  </si>
  <si>
    <t>Dec 25 2025</t>
  </si>
  <si>
    <t>APX1197</t>
  </si>
  <si>
    <t>30-11-2025</t>
  </si>
  <si>
    <t>APX1073</t>
  </si>
  <si>
    <t>APX1142</t>
  </si>
  <si>
    <t>20-05-2025</t>
  </si>
  <si>
    <t>APX1290</t>
  </si>
  <si>
    <t>Jun 22 2025</t>
  </si>
  <si>
    <t>APX1389</t>
  </si>
  <si>
    <t>Oct 24 2025</t>
  </si>
  <si>
    <t>APX1353</t>
  </si>
  <si>
    <t>APX1335</t>
  </si>
  <si>
    <t>Mar 02 2025</t>
  </si>
  <si>
    <t>APX1244</t>
  </si>
  <si>
    <t>APX1119</t>
  </si>
  <si>
    <t>APX1291</t>
  </si>
  <si>
    <t>APX1039</t>
  </si>
  <si>
    <t>APX1136</t>
  </si>
  <si>
    <t>Sep 05 2025</t>
  </si>
  <si>
    <t>APX1214</t>
  </si>
  <si>
    <t>APX1157</t>
  </si>
  <si>
    <t>Jul 31 2025</t>
  </si>
  <si>
    <t>APX1129</t>
  </si>
  <si>
    <t>APX1069</t>
  </si>
  <si>
    <t>Aug 27 2025</t>
  </si>
  <si>
    <t>APX1365</t>
  </si>
  <si>
    <t>Jan 03 2025</t>
  </si>
  <si>
    <t>APX1109</t>
  </si>
  <si>
    <t>Dec 19 2025</t>
  </si>
  <si>
    <t>APX1239</t>
  </si>
  <si>
    <t>APX1167</t>
  </si>
  <si>
    <t>APX1231</t>
  </si>
  <si>
    <t>APX1410</t>
  </si>
  <si>
    <t>APX1156</t>
  </si>
  <si>
    <t>Aug 11 2025</t>
  </si>
  <si>
    <t>APX1344</t>
  </si>
  <si>
    <t>APX1371</t>
  </si>
  <si>
    <t>Oct 30 2025</t>
  </si>
  <si>
    <t>APX1138</t>
  </si>
  <si>
    <t>Nov 03 2025</t>
  </si>
  <si>
    <t>APX1079</t>
  </si>
  <si>
    <t>APX1055</t>
  </si>
  <si>
    <t>25-10-2025</t>
  </si>
  <si>
    <t>APX1054</t>
  </si>
  <si>
    <t>APX1160</t>
  </si>
  <si>
    <t>24-04-2025</t>
  </si>
  <si>
    <t>APX1395</t>
  </si>
  <si>
    <t>APX1411</t>
  </si>
  <si>
    <t>APX1315</t>
  </si>
  <si>
    <t>Nov 11 2025</t>
  </si>
  <si>
    <t>APX1085</t>
  </si>
  <si>
    <t>15-08-2025</t>
  </si>
  <si>
    <t>APX1318</t>
  </si>
  <si>
    <t>APX1304</t>
  </si>
  <si>
    <t>APX1211</t>
  </si>
  <si>
    <t>May 12 2025</t>
  </si>
  <si>
    <t>APX1220</t>
  </si>
  <si>
    <t>Dec 18 2025</t>
  </si>
  <si>
    <t>APX1345</t>
  </si>
  <si>
    <t>APX1236</t>
  </si>
  <si>
    <t>18-09-2025</t>
  </si>
  <si>
    <t>APX1132</t>
  </si>
  <si>
    <t>APX1004</t>
  </si>
  <si>
    <t>Mar 20 2025</t>
  </si>
  <si>
    <t>APX1256</t>
  </si>
  <si>
    <t>May 27 2025</t>
  </si>
  <si>
    <t>APX1198</t>
  </si>
  <si>
    <t>19-04-2025</t>
  </si>
  <si>
    <t>APX1148</t>
  </si>
  <si>
    <t>29-12-2025</t>
  </si>
  <si>
    <t>APX1092</t>
  </si>
  <si>
    <t>25-07-2025</t>
  </si>
  <si>
    <t>APX1238</t>
  </si>
  <si>
    <t>APX1107</t>
  </si>
  <si>
    <t>APX1415</t>
  </si>
  <si>
    <t>APX1383</t>
  </si>
  <si>
    <t>Mar 08 2025</t>
  </si>
  <si>
    <t>APX1014</t>
  </si>
  <si>
    <t>APX1001</t>
  </si>
  <si>
    <t>Mar 09 2025</t>
  </si>
  <si>
    <t>APX1298</t>
  </si>
  <si>
    <t>APX1419</t>
  </si>
  <si>
    <t>APX1226</t>
  </si>
  <si>
    <t>17-09-2025</t>
  </si>
  <si>
    <t>APX1333</t>
  </si>
  <si>
    <t>APX1195</t>
  </si>
  <si>
    <t>APX1185</t>
  </si>
  <si>
    <t>Aug 01 2025</t>
  </si>
  <si>
    <t>APX1367</t>
  </si>
  <si>
    <t>APX1181</t>
  </si>
  <si>
    <t>APX1216</t>
  </si>
  <si>
    <t>13-03-2025</t>
  </si>
  <si>
    <t>Jan 30 2025</t>
  </si>
  <si>
    <t>APX1172</t>
  </si>
  <si>
    <t>22-04-2025</t>
  </si>
  <si>
    <t>APX1428</t>
  </si>
  <si>
    <t>APX1100</t>
  </si>
  <si>
    <t>APX1075</t>
  </si>
  <si>
    <t>APX1237</t>
  </si>
  <si>
    <t>Nov 19 2025</t>
  </si>
  <si>
    <t>APX1017</t>
  </si>
  <si>
    <t>APX1126</t>
  </si>
  <si>
    <t>Jul 22 2025</t>
  </si>
  <si>
    <t>APX1106</t>
  </si>
  <si>
    <t>Feb 27 2025</t>
  </si>
  <si>
    <t>APX1422</t>
  </si>
  <si>
    <t>Dec 24 2025</t>
  </si>
  <si>
    <t>APX1295</t>
  </si>
  <si>
    <t>APX1292</t>
  </si>
  <si>
    <t>Jun 27 2025</t>
  </si>
  <si>
    <t>APX1191</t>
  </si>
  <si>
    <t>25-01-2025</t>
  </si>
  <si>
    <t>31-03-2025</t>
  </si>
  <si>
    <t>APX1324</t>
  </si>
  <si>
    <t>APX1066</t>
  </si>
  <si>
    <t>APX1286</t>
  </si>
  <si>
    <t>APX1414</t>
  </si>
  <si>
    <t>Feb 18 2025</t>
  </si>
  <si>
    <t>APX1320</t>
  </si>
  <si>
    <t>APX1060</t>
  </si>
  <si>
    <t>APX1099</t>
  </si>
  <si>
    <t>APX1077</t>
  </si>
  <si>
    <t>APX1247</t>
  </si>
  <si>
    <t>Mar 30 2025</t>
  </si>
  <si>
    <t>Sep 26 2025</t>
  </si>
  <si>
    <t>APX1319</t>
  </si>
  <si>
    <t>APX1342</t>
  </si>
  <si>
    <t>May 06 2025</t>
  </si>
  <si>
    <t>APX1301</t>
  </si>
  <si>
    <t>APX1041</t>
  </si>
  <si>
    <t>19-12-2025</t>
  </si>
  <si>
    <t>APX1047</t>
  </si>
  <si>
    <t>APX1110</t>
  </si>
  <si>
    <t>APX1406</t>
  </si>
  <si>
    <t>30-05-2025</t>
  </si>
  <si>
    <t>APX1076</t>
  </si>
  <si>
    <t>21-03-2025</t>
  </si>
  <si>
    <t>25-03-2025</t>
  </si>
  <si>
    <t>APX1217</t>
  </si>
  <si>
    <t>Mar 04 2025</t>
  </si>
  <si>
    <t>Dec 04 2025</t>
  </si>
  <si>
    <t>APX1080</t>
  </si>
  <si>
    <t>21-12-2025</t>
  </si>
  <si>
    <t>APX1378</t>
  </si>
  <si>
    <t>23-08-2025</t>
  </si>
  <si>
    <t>Feb 24 2025</t>
  </si>
  <si>
    <t>APX1240</t>
  </si>
  <si>
    <t>May 25 2025</t>
  </si>
  <si>
    <t>APX1113</t>
  </si>
  <si>
    <t>16-08-2025</t>
  </si>
  <si>
    <t>Jul 26 2025</t>
  </si>
  <si>
    <t>Apr 09 2025</t>
  </si>
  <si>
    <t>APX1040</t>
  </si>
  <si>
    <t>19-06-2025</t>
  </si>
  <si>
    <t>APX1038</t>
  </si>
  <si>
    <t>Jul 21 2025</t>
  </si>
  <si>
    <t>APX1234</t>
  </si>
  <si>
    <t>15-09-2025</t>
  </si>
  <si>
    <t>APX1149</t>
  </si>
  <si>
    <t>APX1182</t>
  </si>
  <si>
    <t>Mar 10 2025</t>
  </si>
  <si>
    <t>APX1125</t>
  </si>
  <si>
    <t>Feb 21 2025</t>
  </si>
  <si>
    <t>APX1317</t>
  </si>
  <si>
    <t>APX1209</t>
  </si>
  <si>
    <t>28-06-2025</t>
  </si>
  <si>
    <t>APX1078</t>
  </si>
  <si>
    <t>Nov 09 2025</t>
  </si>
  <si>
    <t>APX1096</t>
  </si>
  <si>
    <t>May 04 2025</t>
  </si>
  <si>
    <t>APX1397</t>
  </si>
  <si>
    <t>Oct 20 2025</t>
  </si>
  <si>
    <t>APX1328</t>
  </si>
  <si>
    <t>APX1343</t>
  </si>
  <si>
    <t>APX1359</t>
  </si>
  <si>
    <t>Jan 04 2025</t>
  </si>
  <si>
    <t>Feb 07 2025</t>
  </si>
  <si>
    <t>APX1275</t>
  </si>
  <si>
    <t>Nov 30 2025</t>
  </si>
  <si>
    <t>Jan 10 2025</t>
  </si>
  <si>
    <t>APX1302</t>
  </si>
  <si>
    <t>APX1101</t>
  </si>
  <si>
    <t>APX1002</t>
  </si>
  <si>
    <t>APX1173</t>
  </si>
  <si>
    <t>APX1161</t>
  </si>
  <si>
    <t>APX1027</t>
  </si>
  <si>
    <t>APX1368</t>
  </si>
  <si>
    <t>May 18 2025</t>
  </si>
  <si>
    <t>APX1067</t>
  </si>
  <si>
    <t>APX1108</t>
  </si>
  <si>
    <t>13-04-2025</t>
  </si>
  <si>
    <t>APX1426</t>
  </si>
  <si>
    <t>APX1121</t>
  </si>
  <si>
    <t>Feb 04 2025</t>
  </si>
  <si>
    <t>25-09-2025</t>
  </si>
  <si>
    <t>APX1162</t>
  </si>
  <si>
    <t>Jan 09 2025</t>
  </si>
  <si>
    <t>APX1025</t>
  </si>
  <si>
    <t>20-04-2025</t>
  </si>
  <si>
    <t>Aug 21 2025</t>
  </si>
  <si>
    <t>18-04-2025</t>
  </si>
  <si>
    <t>APX1139</t>
  </si>
  <si>
    <t>APX1420</t>
  </si>
  <si>
    <t>Apr 28 2025</t>
  </si>
  <si>
    <t>APX1030</t>
  </si>
  <si>
    <t>27-09-2025</t>
  </si>
  <si>
    <t>APX1144</t>
  </si>
  <si>
    <t>25-11-2025</t>
  </si>
  <si>
    <t>APX1248</t>
  </si>
  <si>
    <t>APX1355</t>
  </si>
  <si>
    <t>30-12-2025</t>
  </si>
  <si>
    <t>APX1200</t>
  </si>
  <si>
    <t>APX1361</t>
  </si>
  <si>
    <t>APX1188</t>
  </si>
  <si>
    <t>May 14 2025</t>
  </si>
  <si>
    <t>APX1015</t>
  </si>
  <si>
    <t>13-01-2025</t>
  </si>
  <si>
    <t>APX1183</t>
  </si>
  <si>
    <t>Jan 27 2025</t>
  </si>
  <si>
    <t>APX1334</t>
  </si>
  <si>
    <t>APX1312</t>
  </si>
  <si>
    <t>26-05-2025</t>
  </si>
  <si>
    <t>20-10-2025</t>
  </si>
  <si>
    <t>APX1347</t>
  </si>
  <si>
    <t>Mar 19 2025</t>
  </si>
  <si>
    <t>APX1350</t>
  </si>
  <si>
    <t>APX1259</t>
  </si>
  <si>
    <t>APX1316</t>
  </si>
  <si>
    <t>17-03-2025</t>
  </si>
  <si>
    <t>APX1005</t>
  </si>
  <si>
    <t>Mar 24 2025</t>
  </si>
  <si>
    <t>APX1296</t>
  </si>
  <si>
    <t>APX1089</t>
  </si>
  <si>
    <t>26-10-2025</t>
  </si>
  <si>
    <t>APX1228</t>
  </si>
  <si>
    <t>31-07-2025</t>
  </si>
  <si>
    <t>May 03 2025</t>
  </si>
  <si>
    <t>Sep 18 2025</t>
  </si>
  <si>
    <t>Mar 03 2025</t>
  </si>
  <si>
    <t>29-05-2025</t>
  </si>
  <si>
    <t>22-07-2025</t>
  </si>
  <si>
    <t>Oct 28 2025</t>
  </si>
  <si>
    <t>Nov 26 2025</t>
  </si>
  <si>
    <t>APX1052</t>
  </si>
  <si>
    <t>17-12-2025</t>
  </si>
  <si>
    <t>24-11-2025</t>
  </si>
  <si>
    <t>APX1122</t>
  </si>
  <si>
    <t>Jun 19 2025</t>
  </si>
  <si>
    <t>APX1153</t>
  </si>
  <si>
    <t>APX1158</t>
  </si>
  <si>
    <t>APX1104</t>
  </si>
  <si>
    <t>APX1227</t>
  </si>
  <si>
    <t>APX1208</t>
  </si>
  <si>
    <t>Dec 21 2025</t>
  </si>
  <si>
    <t>APX1064</t>
  </si>
  <si>
    <t>17-06-2025</t>
  </si>
  <si>
    <t>APX1022</t>
  </si>
  <si>
    <t>Mar 18 2025</t>
  </si>
  <si>
    <t>Order ID</t>
  </si>
  <si>
    <t>Order Date</t>
  </si>
  <si>
    <t>Month</t>
  </si>
  <si>
    <t>Year</t>
  </si>
  <si>
    <t>Quarter</t>
  </si>
  <si>
    <t>Month Number</t>
  </si>
  <si>
    <t>Pz</t>
  </si>
  <si>
    <t>Bua</t>
  </si>
  <si>
    <t>Abuja</t>
  </si>
  <si>
    <t>Kano</t>
  </si>
  <si>
    <t>South-South</t>
  </si>
  <si>
    <t>Total Sales</t>
  </si>
  <si>
    <t>Delivery Category</t>
  </si>
  <si>
    <t>Grand Total</t>
  </si>
  <si>
    <t>Unknown</t>
  </si>
  <si>
    <t>Sum of Total Sales</t>
  </si>
  <si>
    <t>Total_Sales</t>
  </si>
  <si>
    <t>1.  Total Sales by Supplier.</t>
  </si>
  <si>
    <t xml:space="preserve">2.  Total Sales by Warehouse. </t>
  </si>
  <si>
    <t>3.  Total Sales by Customer Region.</t>
  </si>
  <si>
    <t>4.  Top 10 Products by Sales.</t>
  </si>
  <si>
    <t>5.  Order Status Distribution.</t>
  </si>
  <si>
    <t>6.  Monthly Sales Trend.</t>
  </si>
  <si>
    <t xml:space="preserve">7.  Average Delivery Days by Warehouse. </t>
  </si>
  <si>
    <t>8.  Average Delivery Days by Supplier.</t>
  </si>
  <si>
    <t>9.  Total Quantity Sold by Product.</t>
  </si>
  <si>
    <t xml:space="preserve">10. Number of Orders by Region. </t>
  </si>
  <si>
    <t>Count of Order ID</t>
  </si>
  <si>
    <t>Jan</t>
  </si>
  <si>
    <t>Feb</t>
  </si>
  <si>
    <t>Mar</t>
  </si>
  <si>
    <t>Apr</t>
  </si>
  <si>
    <t>May</t>
  </si>
  <si>
    <t>Jun</t>
  </si>
  <si>
    <t>Jul</t>
  </si>
  <si>
    <t>Aug</t>
  </si>
  <si>
    <t>Sep</t>
  </si>
  <si>
    <t>Oct</t>
  </si>
  <si>
    <t>Nov</t>
  </si>
  <si>
    <t>Dec</t>
  </si>
  <si>
    <t>Average of Delivery_Days</t>
  </si>
  <si>
    <t>Sum of Quantity</t>
  </si>
  <si>
    <t xml:space="preserve">KPI </t>
  </si>
  <si>
    <t>1. Top 10 Products by Sales.</t>
  </si>
  <si>
    <t>1.  Monthly Sales Trend (Line Chart) vs Prev Month</t>
  </si>
  <si>
    <t>2. Total Sales by Customer Region.</t>
  </si>
  <si>
    <t>3. Sales by Warehouse</t>
  </si>
  <si>
    <t>4. Average Delivery Days by Warehouse</t>
  </si>
  <si>
    <t xml:space="preserve">Last Month Sales </t>
  </si>
  <si>
    <t>Current Month Sales</t>
  </si>
  <si>
    <t>MoM %</t>
  </si>
  <si>
    <t>Last Motnh Order</t>
  </si>
  <si>
    <t>Count of Order ID2</t>
  </si>
  <si>
    <t>Current Month orders</t>
  </si>
  <si>
    <t>Max Highlight</t>
  </si>
  <si>
    <t>Min Highlight</t>
  </si>
  <si>
    <t>Option btn</t>
  </si>
  <si>
    <t>Title Highlight</t>
  </si>
  <si>
    <t>Max</t>
  </si>
  <si>
    <t>Context Highlight</t>
  </si>
  <si>
    <t>Max Sales</t>
  </si>
  <si>
    <t>% of Max Sales</t>
  </si>
  <si>
    <t>Lookup Product</t>
  </si>
  <si>
    <t>Others</t>
  </si>
  <si>
    <t>Not Assigned</t>
  </si>
  <si>
    <t>MoM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</si>
</sst>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470]#,##0"/>
    <numFmt numFmtId="166" formatCode="#\ &quot;Days&quot;"/>
    <numFmt numFmtId="167"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sz val="8"/>
      <color rgb="FF000000"/>
      <name val="Segoe UI"/>
      <family val="2"/>
    </font>
    <font>
      <b/>
      <sz val="9"/>
      <color indexed="81"/>
      <name val="Tahoma"/>
      <family val="2"/>
    </font>
    <font>
      <sz val="9"/>
      <color indexed="81"/>
      <name val="Tahoma"/>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74151"/>
        <bgColor indexed="64"/>
      </patternFill>
    </fill>
    <fill>
      <patternFill patternType="solid">
        <fgColor rgb="FFEFF5FF"/>
        <bgColor indexed="64"/>
      </patternFill>
    </fill>
    <fill>
      <patternFill patternType="solid">
        <fgColor rgb="FF1E40AF"/>
        <bgColor indexed="64"/>
      </patternFill>
    </fill>
    <fill>
      <patternFill patternType="solid">
        <fgColor rgb="FF0057D9"/>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3"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vertical="center" indent="1"/>
    </xf>
    <xf numFmtId="0" fontId="16" fillId="0" borderId="0" xfId="0" applyFont="1"/>
    <xf numFmtId="0" fontId="0" fillId="33" borderId="0" xfId="0" applyFill="1"/>
    <xf numFmtId="165" fontId="0" fillId="33" borderId="0" xfId="0" applyNumberFormat="1" applyFill="1"/>
    <xf numFmtId="0" fontId="0" fillId="0" borderId="10" xfId="0" applyBorder="1" applyAlignment="1">
      <alignment horizontal="left" vertical="center" indent="1"/>
    </xf>
    <xf numFmtId="0" fontId="0" fillId="0" borderId="11" xfId="0" applyBorder="1" applyAlignment="1">
      <alignment horizontal="left" vertical="center" indent="1"/>
    </xf>
    <xf numFmtId="0" fontId="0" fillId="0" borderId="12" xfId="0" applyBorder="1" applyAlignment="1">
      <alignment horizontal="left" vertical="center" indent="1"/>
    </xf>
    <xf numFmtId="0" fontId="1" fillId="0" borderId="0" xfId="0" applyFont="1" applyAlignment="1">
      <alignment horizontal="left" vertical="center" indent="1"/>
    </xf>
    <xf numFmtId="0" fontId="0" fillId="0" borderId="0" xfId="0" applyAlignment="1">
      <alignment vertical="center"/>
    </xf>
    <xf numFmtId="0" fontId="0" fillId="34" borderId="0" xfId="0" applyFill="1"/>
    <xf numFmtId="166" fontId="0" fillId="0" borderId="0" xfId="0" applyNumberFormat="1"/>
    <xf numFmtId="167" fontId="0" fillId="0" borderId="0" xfId="0" applyNumberFormat="1"/>
    <xf numFmtId="0" fontId="13" fillId="33" borderId="13" xfId="0" applyFont="1" applyFill="1" applyBorder="1"/>
    <xf numFmtId="3" fontId="0" fillId="0" borderId="13" xfId="0" applyNumberFormat="1" applyBorder="1"/>
    <xf numFmtId="10" fontId="0" fillId="0" borderId="13" xfId="0" applyNumberFormat="1" applyBorder="1"/>
    <xf numFmtId="167" fontId="0" fillId="0" borderId="13" xfId="0" applyNumberFormat="1" applyBorder="1"/>
    <xf numFmtId="0" fontId="18" fillId="35" borderId="0" xfId="0" applyFont="1" applyFill="1"/>
    <xf numFmtId="0" fontId="18" fillId="35" borderId="13" xfId="0" applyFont="1" applyFill="1" applyBorder="1"/>
    <xf numFmtId="0" fontId="0" fillId="0" borderId="13" xfId="0" applyBorder="1"/>
    <xf numFmtId="0" fontId="18" fillId="36" borderId="0" xfId="0" applyFont="1" applyFill="1"/>
    <xf numFmtId="3" fontId="18" fillId="36" borderId="0" xfId="0" applyNumberFormat="1" applyFont="1" applyFill="1"/>
    <xf numFmtId="0" fontId="18" fillId="36" borderId="13" xfId="0" applyFont="1" applyFill="1" applyBorder="1"/>
    <xf numFmtId="0" fontId="0" fillId="37"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color rgb="FF9C0006"/>
      </font>
      <fill>
        <patternFill>
          <bgColor rgb="FFFFC7CE"/>
        </patternFill>
      </fill>
    </dxf>
    <dxf>
      <font>
        <color rgb="FF9C0006"/>
      </font>
      <fill>
        <patternFill>
          <bgColor rgb="FFFFC7CE"/>
        </patternFill>
      </fill>
    </dxf>
    <dxf>
      <fill>
        <patternFill>
          <bgColor rgb="FFFF7D7D"/>
        </patternFill>
      </fill>
    </dxf>
    <dxf>
      <numFmt numFmtId="166" formatCode="#\ &quot;Days&quot;"/>
    </dxf>
    <dxf>
      <numFmt numFmtId="0" formatCode="General"/>
    </dxf>
    <dxf>
      <numFmt numFmtId="165" formatCode="[$₦-470]#,##0"/>
    </dxf>
    <dxf>
      <numFmt numFmtId="165" formatCode="[$₦-470]#,##0"/>
    </dxf>
    <dxf>
      <numFmt numFmtId="164" formatCode="dd\-mm\-yyyy"/>
    </dxf>
    <dxf>
      <numFmt numFmtId="1" formatCode="0"/>
    </dxf>
    <dxf>
      <numFmt numFmtId="164" formatCode="dd\-mm\-yyyy"/>
    </dxf>
    <dxf>
      <numFmt numFmtId="164" formatCode="dd\-mm\-yyyy"/>
    </dxf>
    <dxf>
      <numFmt numFmtId="164" formatCode="dd\-mm\-yyyy"/>
    </dxf>
    <dxf>
      <numFmt numFmtId="164" formatCode="dd\-mm\-yyyy"/>
    </dxf>
    <dxf>
      <font>
        <b/>
        <i val="0"/>
        <sz val="10"/>
        <color theme="0"/>
      </font>
      <fill>
        <patternFill>
          <bgColor rgb="FF0057D9"/>
        </patternFill>
      </fill>
      <border diagonalUp="0" diagonalDown="0">
        <left/>
        <right/>
        <top/>
        <bottom/>
        <vertical/>
        <horizontal/>
      </border>
    </dxf>
    <dxf>
      <font>
        <b/>
        <i val="0"/>
        <sz val="11"/>
        <color theme="0"/>
      </font>
      <fill>
        <patternFill>
          <bgColor rgb="FF374151"/>
        </patternFill>
      </fill>
      <border diagonalUp="0" diagonalDown="0">
        <left/>
        <right/>
        <top/>
        <bottom/>
        <vertical/>
        <horizontal/>
      </border>
    </dxf>
    <dxf>
      <font>
        <sz val="8"/>
      </font>
    </dxf>
  </dxfs>
  <tableStyles count="2" defaultTableStyle="TableStyleMedium2" defaultPivotStyle="PivotStyleLight16">
    <tableStyle name="Slicer Style 1" pivot="0" table="0" count="1" xr9:uid="{073D4050-DD89-4EA2-8D6F-D73B6AC08F64}">
      <tableStyleElement type="wholeTable" dxfId="15"/>
    </tableStyle>
    <tableStyle name="Slicer Style 2" pivot="0" table="0" count="8" xr9:uid="{8725528B-4BA3-4905-9FE5-456429AC22B5}">
      <tableStyleElement type="wholeTable" dxfId="14"/>
      <tableStyleElement type="headerRow" dxfId="13"/>
    </tableStyle>
  </tableStyles>
  <colors>
    <mruColors>
      <color rgb="FF0057D9"/>
      <color rgb="FFF97316"/>
      <color rgb="FF374151"/>
      <color rgb="FFFFFFFF"/>
      <color rgb="FF1E40AF"/>
      <color rgb="FF2563EB"/>
      <color rgb="FFEFF5FF"/>
      <color rgb="FFC1DAFF"/>
      <color rgb="FFFF7D7D"/>
    </mruColors>
  </colors>
  <extLst>
    <ext xmlns:x14="http://schemas.microsoft.com/office/spreadsheetml/2009/9/main" uri="{46F421CA-312F-682f-3DD2-61675219B42D}">
      <x14:dxfs count="6">
        <dxf>
          <fill>
            <patternFill>
              <bgColor theme="0"/>
            </patternFill>
          </fill>
        </dxf>
        <dxf>
          <font>
            <color rgb="FF374151"/>
          </font>
          <fill>
            <patternFill>
              <fgColor rgb="FFF97316"/>
              <bgColor rgb="FFF97316"/>
            </patternFill>
          </fill>
        </dxf>
        <dxf>
          <font>
            <color rgb="FF374151"/>
          </font>
          <fill>
            <patternFill>
              <bgColor rgb="FFF97316"/>
            </patternFill>
          </fill>
        </dxf>
        <dxf>
          <fill>
            <patternFill>
              <fgColor rgb="FFF97316"/>
              <bgColor theme="0"/>
            </patternFill>
          </fill>
          <border diagonalUp="0" diagonalDown="0">
            <left/>
            <right/>
            <top/>
            <bottom/>
            <vertical/>
            <horizontal/>
          </border>
        </dxf>
        <dxf>
          <font>
            <b val="0"/>
            <i val="0"/>
            <sz val="8"/>
            <color theme="0"/>
          </font>
          <fill>
            <patternFill>
              <bgColor rgb="FF374151"/>
            </patternFill>
          </fill>
          <border diagonalUp="0" diagonalDown="0">
            <left/>
            <right/>
            <top/>
            <bottom/>
            <vertical/>
            <horizontal/>
          </border>
        </dxf>
        <dxf>
          <font>
            <b val="0"/>
            <i val="0"/>
            <sz val="9"/>
            <color rgb="FF374151"/>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Statistics!$CF$31</c:f>
              <c:strCache>
                <c:ptCount val="1"/>
                <c:pt idx="0">
                  <c:v>Count of Order ID</c:v>
                </c:pt>
              </c:strCache>
            </c:strRef>
          </c:tx>
          <c:spPr>
            <a:ln w="28575" cap="rnd">
              <a:solidFill>
                <a:srgbClr val="0057D9"/>
              </a:solidFill>
              <a:round/>
            </a:ln>
            <a:effectLst/>
          </c:spPr>
          <c:marker>
            <c:symbol val="none"/>
          </c:marker>
          <c:dLbls>
            <c:dLbl>
              <c:idx val="0"/>
              <c:tx>
                <c:rich>
                  <a:bodyPr/>
                  <a:lstStyle/>
                  <a:p>
                    <a:fld id="{0C8FA037-C98D-4AC9-A57E-93975E0289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568-4F91-B2C6-2A7F778CAE3C}"/>
                </c:ext>
              </c:extLst>
            </c:dLbl>
            <c:dLbl>
              <c:idx val="1"/>
              <c:tx>
                <c:rich>
                  <a:bodyPr/>
                  <a:lstStyle/>
                  <a:p>
                    <a:fld id="{5B4F232A-3869-485C-923A-C75E164E4DA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568-4F91-B2C6-2A7F778CAE3C}"/>
                </c:ext>
              </c:extLst>
            </c:dLbl>
            <c:dLbl>
              <c:idx val="2"/>
              <c:tx>
                <c:rich>
                  <a:bodyPr/>
                  <a:lstStyle/>
                  <a:p>
                    <a:fld id="{EE076D36-21BB-4575-BB70-C8A5180028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568-4F91-B2C6-2A7F778CAE3C}"/>
                </c:ext>
              </c:extLst>
            </c:dLbl>
            <c:dLbl>
              <c:idx val="3"/>
              <c:tx>
                <c:rich>
                  <a:bodyPr/>
                  <a:lstStyle/>
                  <a:p>
                    <a:fld id="{7907E9D7-C07C-44E7-B800-27510354F0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568-4F91-B2C6-2A7F778CAE3C}"/>
                </c:ext>
              </c:extLst>
            </c:dLbl>
            <c:dLbl>
              <c:idx val="4"/>
              <c:tx>
                <c:rich>
                  <a:bodyPr/>
                  <a:lstStyle/>
                  <a:p>
                    <a:fld id="{F61B8F06-F7E3-4901-9605-4AF815A67A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568-4F91-B2C6-2A7F778CAE3C}"/>
                </c:ext>
              </c:extLst>
            </c:dLbl>
            <c:dLbl>
              <c:idx val="5"/>
              <c:tx>
                <c:rich>
                  <a:bodyPr/>
                  <a:lstStyle/>
                  <a:p>
                    <a:fld id="{246F9C8E-C352-4F86-95A9-E9DF782F12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568-4F91-B2C6-2A7F778CAE3C}"/>
                </c:ext>
              </c:extLst>
            </c:dLbl>
            <c:dLbl>
              <c:idx val="6"/>
              <c:tx>
                <c:rich>
                  <a:bodyPr/>
                  <a:lstStyle/>
                  <a:p>
                    <a:fld id="{9324AE71-BC0A-4665-ACCC-F784BE27118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568-4F91-B2C6-2A7F778CAE3C}"/>
                </c:ext>
              </c:extLst>
            </c:dLbl>
            <c:dLbl>
              <c:idx val="7"/>
              <c:tx>
                <c:rich>
                  <a:bodyPr/>
                  <a:lstStyle/>
                  <a:p>
                    <a:fld id="{56B354A1-EB0F-4B75-8A0B-F5A44F9502C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568-4F91-B2C6-2A7F778CAE3C}"/>
                </c:ext>
              </c:extLst>
            </c:dLbl>
            <c:dLbl>
              <c:idx val="8"/>
              <c:tx>
                <c:rich>
                  <a:bodyPr/>
                  <a:lstStyle/>
                  <a:p>
                    <a:fld id="{EBEC5180-31AF-4D6D-8C8B-650B7B3143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568-4F91-B2C6-2A7F778CAE3C}"/>
                </c:ext>
              </c:extLst>
            </c:dLbl>
            <c:dLbl>
              <c:idx val="9"/>
              <c:tx>
                <c:rich>
                  <a:bodyPr/>
                  <a:lstStyle/>
                  <a:p>
                    <a:fld id="{43DE6CA9-A52A-44CC-A570-0441C5AD00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568-4F91-B2C6-2A7F778CAE3C}"/>
                </c:ext>
              </c:extLst>
            </c:dLbl>
            <c:dLbl>
              <c:idx val="10"/>
              <c:tx>
                <c:rich>
                  <a:bodyPr/>
                  <a:lstStyle/>
                  <a:p>
                    <a:fld id="{BF0DA7A4-C5EB-4022-B80A-AE01A9A242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568-4F91-B2C6-2A7F778CAE3C}"/>
                </c:ext>
              </c:extLst>
            </c:dLbl>
            <c:dLbl>
              <c:idx val="11"/>
              <c:tx>
                <c:rich>
                  <a:bodyPr/>
                  <a:lstStyle/>
                  <a:p>
                    <a:fld id="{D4656C4A-5B71-4EC3-BD37-1966E600EF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568-4F91-B2C6-2A7F778CAE3C}"/>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37415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Statistics!$CE$32:$CE$43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Statistics!$CF$32:$CF$43</c:f>
              <c:numCache>
                <c:formatCode>#,##0</c:formatCode>
                <c:ptCount val="12"/>
                <c:pt idx="0">
                  <c:v>31</c:v>
                </c:pt>
                <c:pt idx="1">
                  <c:v>35</c:v>
                </c:pt>
                <c:pt idx="2">
                  <c:v>49</c:v>
                </c:pt>
                <c:pt idx="3">
                  <c:v>39</c:v>
                </c:pt>
                <c:pt idx="4">
                  <c:v>41</c:v>
                </c:pt>
                <c:pt idx="5">
                  <c:v>26</c:v>
                </c:pt>
                <c:pt idx="6">
                  <c:v>39</c:v>
                </c:pt>
                <c:pt idx="7">
                  <c:v>36</c:v>
                </c:pt>
                <c:pt idx="8">
                  <c:v>48</c:v>
                </c:pt>
                <c:pt idx="9">
                  <c:v>46</c:v>
                </c:pt>
                <c:pt idx="10">
                  <c:v>50</c:v>
                </c:pt>
                <c:pt idx="11">
                  <c:v>60</c:v>
                </c:pt>
              </c:numCache>
            </c:numRef>
          </c:val>
          <c:smooth val="1"/>
          <c:extLst>
            <c:ext xmlns:c15="http://schemas.microsoft.com/office/drawing/2012/chart" uri="{02D57815-91ED-43cb-92C2-25804820EDAC}">
              <c15:datalabelsRange>
                <c15:f>Statistics!$CI$32:$CI$43</c15:f>
                <c15:dlblRangeCache>
                  <c:ptCount val="12"/>
                  <c:pt idx="0">
                    <c:v>31</c:v>
                  </c:pt>
                  <c:pt idx="1">
                    <c:v>35</c:v>
                  </c:pt>
                  <c:pt idx="2">
                    <c:v>49</c:v>
                  </c:pt>
                  <c:pt idx="3">
                    <c:v>39</c:v>
                  </c:pt>
                  <c:pt idx="4">
                    <c:v>41</c:v>
                  </c:pt>
                  <c:pt idx="5">
                    <c:v>26</c:v>
                  </c:pt>
                  <c:pt idx="6">
                    <c:v>39</c:v>
                  </c:pt>
                  <c:pt idx="7">
                    <c:v>36</c:v>
                  </c:pt>
                  <c:pt idx="8">
                    <c:v>48</c:v>
                  </c:pt>
                  <c:pt idx="9">
                    <c:v>46</c:v>
                  </c:pt>
                  <c:pt idx="10">
                    <c:v>50</c:v>
                  </c:pt>
                  <c:pt idx="11">
                    <c:v>60</c:v>
                  </c:pt>
                </c15:dlblRangeCache>
              </c15:datalabelsRange>
            </c:ext>
            <c:ext xmlns:c16="http://schemas.microsoft.com/office/drawing/2014/chart" uri="{C3380CC4-5D6E-409C-BE32-E72D297353CC}">
              <c16:uniqueId val="{00000000-C568-4F91-B2C6-2A7F778CAE3C}"/>
            </c:ext>
          </c:extLst>
        </c:ser>
        <c:ser>
          <c:idx val="1"/>
          <c:order val="1"/>
          <c:tx>
            <c:strRef>
              <c:f>Statistics!$CG$31</c:f>
              <c:strCache>
                <c:ptCount val="1"/>
                <c:pt idx="0">
                  <c:v>Max Highlight</c:v>
                </c:pt>
              </c:strCache>
            </c:strRef>
          </c:tx>
          <c:spPr>
            <a:ln w="28575" cap="rnd">
              <a:solidFill>
                <a:schemeClr val="accent2"/>
              </a:solidFill>
              <a:round/>
            </a:ln>
            <a:effectLst/>
          </c:spPr>
          <c:marker>
            <c:symbol val="circle"/>
            <c:size val="10"/>
            <c:spPr>
              <a:solidFill>
                <a:schemeClr val="accent2"/>
              </a:solidFill>
              <a:ln w="9525">
                <a:solidFill>
                  <a:schemeClr val="accent2"/>
                </a:solidFill>
              </a:ln>
              <a:effectLst/>
            </c:spPr>
          </c:marker>
          <c:dLbls>
            <c:delete val="1"/>
          </c:dLbls>
          <c:cat>
            <c:strRef>
              <c:f>Statistics!$CE$32:$CE$43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Statistics!$CG$32:$CG$43</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60</c:v>
                </c:pt>
              </c:numCache>
            </c:numRef>
          </c:val>
          <c:smooth val="0"/>
          <c:extLst>
            <c:ext xmlns:c16="http://schemas.microsoft.com/office/drawing/2014/chart" uri="{C3380CC4-5D6E-409C-BE32-E72D297353CC}">
              <c16:uniqueId val="{00000001-C568-4F91-B2C6-2A7F778CAE3C}"/>
            </c:ext>
          </c:extLst>
        </c:ser>
        <c:ser>
          <c:idx val="2"/>
          <c:order val="2"/>
          <c:tx>
            <c:strRef>
              <c:f>Statistics!$CH$31</c:f>
              <c:strCache>
                <c:ptCount val="1"/>
                <c:pt idx="0">
                  <c:v>Min Highlight</c:v>
                </c:pt>
              </c:strCache>
            </c:strRef>
          </c:tx>
          <c:spPr>
            <a:ln w="28575" cap="rnd">
              <a:solidFill>
                <a:schemeClr val="accent3"/>
              </a:solidFill>
              <a:round/>
            </a:ln>
            <a:effectLst/>
          </c:spPr>
          <c:marker>
            <c:symbol val="circle"/>
            <c:size val="10"/>
            <c:spPr>
              <a:solidFill>
                <a:schemeClr val="accent3"/>
              </a:solidFill>
              <a:ln w="9525">
                <a:solidFill>
                  <a:schemeClr val="accent3"/>
                </a:solidFill>
              </a:ln>
              <a:effectLst/>
            </c:spPr>
          </c:marker>
          <c:dLbls>
            <c:delete val="1"/>
          </c:dLbls>
          <c:cat>
            <c:strRef>
              <c:f>Statistics!$CE$32:$CE$43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Statistics!$CH$32:$CH$43</c:f>
              <c:numCache>
                <c:formatCode>#,##0</c:formatCode>
                <c:ptCount val="12"/>
                <c:pt idx="0">
                  <c:v>#N/A</c:v>
                </c:pt>
                <c:pt idx="1">
                  <c:v>#N/A</c:v>
                </c:pt>
                <c:pt idx="2">
                  <c:v>#N/A</c:v>
                </c:pt>
                <c:pt idx="3">
                  <c:v>#N/A</c:v>
                </c:pt>
                <c:pt idx="4">
                  <c:v>#N/A</c:v>
                </c:pt>
                <c:pt idx="5">
                  <c:v>26</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C568-4F91-B2C6-2A7F778CAE3C}"/>
            </c:ext>
          </c:extLst>
        </c:ser>
        <c:dLbls>
          <c:dLblPos val="t"/>
          <c:showLegendKey val="0"/>
          <c:showVal val="1"/>
          <c:showCatName val="0"/>
          <c:showSerName val="0"/>
          <c:showPercent val="0"/>
          <c:showBubbleSize val="0"/>
        </c:dLbls>
        <c:smooth val="0"/>
        <c:axId val="1865246175"/>
        <c:axId val="1861116047"/>
      </c:lineChart>
      <c:catAx>
        <c:axId val="18652461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57D9"/>
                </a:solidFill>
                <a:latin typeface="+mn-lt"/>
                <a:ea typeface="+mn-ea"/>
                <a:cs typeface="+mn-cs"/>
              </a:defRPr>
            </a:pPr>
            <a:endParaRPr lang="en-US"/>
          </a:p>
        </c:txPr>
        <c:crossAx val="1861116047"/>
        <c:crosses val="autoZero"/>
        <c:auto val="1"/>
        <c:lblAlgn val="ctr"/>
        <c:lblOffset val="100"/>
        <c:noMultiLvlLbl val="0"/>
      </c:catAx>
      <c:valAx>
        <c:axId val="1861116047"/>
        <c:scaling>
          <c:orientation val="minMax"/>
        </c:scaling>
        <c:delete val="1"/>
        <c:axPos val="l"/>
        <c:numFmt formatCode="#,##0" sourceLinked="1"/>
        <c:majorTickMark val="none"/>
        <c:minorTickMark val="none"/>
        <c:tickLblPos val="nextTo"/>
        <c:crossAx val="186524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Statistics!$CT$25</c:f>
              <c:strCache>
                <c:ptCount val="1"/>
                <c:pt idx="0">
                  <c:v>Sum of Total Sales</c:v>
                </c:pt>
              </c:strCache>
            </c:strRef>
          </c:tx>
          <c:spPr>
            <a:solidFill>
              <a:schemeClr val="bg1">
                <a:lumMod val="85000"/>
              </a:schemeClr>
            </a:solidFill>
            <a:ln>
              <a:noFill/>
            </a:ln>
            <a:effectLst/>
          </c:spPr>
          <c:invertIfNegative val="0"/>
          <c:dLbls>
            <c:dLbl>
              <c:idx val="0"/>
              <c:tx>
                <c:rich>
                  <a:bodyPr/>
                  <a:lstStyle/>
                  <a:p>
                    <a:fld id="{6208A686-294A-4B43-9551-8344E50218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13D-4B01-8ECF-CE9DFB3D0FCB}"/>
                </c:ext>
              </c:extLst>
            </c:dLbl>
            <c:dLbl>
              <c:idx val="1"/>
              <c:tx>
                <c:rich>
                  <a:bodyPr/>
                  <a:lstStyle/>
                  <a:p>
                    <a:fld id="{B15D7E8C-DD04-4325-9B25-5A8F5E9542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13D-4B01-8ECF-CE9DFB3D0FCB}"/>
                </c:ext>
              </c:extLst>
            </c:dLbl>
            <c:dLbl>
              <c:idx val="2"/>
              <c:tx>
                <c:rich>
                  <a:bodyPr/>
                  <a:lstStyle/>
                  <a:p>
                    <a:fld id="{F71E6847-2602-4F1C-BE56-AF790691D9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13D-4B01-8ECF-CE9DFB3D0FCB}"/>
                </c:ext>
              </c:extLst>
            </c:dLbl>
            <c:dLbl>
              <c:idx val="3"/>
              <c:tx>
                <c:rich>
                  <a:bodyPr/>
                  <a:lstStyle/>
                  <a:p>
                    <a:fld id="{BF1AC791-9EA9-472A-9DCD-7D5ECE97F6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13D-4B01-8ECF-CE9DFB3D0FCB}"/>
                </c:ext>
              </c:extLst>
            </c:dLbl>
            <c:dLbl>
              <c:idx val="4"/>
              <c:tx>
                <c:rich>
                  <a:bodyPr/>
                  <a:lstStyle/>
                  <a:p>
                    <a:fld id="{688A2CB8-AC0C-422A-BE77-C96E704798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13D-4B01-8ECF-CE9DFB3D0FCB}"/>
                </c:ext>
              </c:extLst>
            </c:dLbl>
            <c:dLbl>
              <c:idx val="5"/>
              <c:tx>
                <c:rich>
                  <a:bodyPr/>
                  <a:lstStyle/>
                  <a:p>
                    <a:fld id="{32772BFC-0FA7-4AE8-9BD6-D18F3EBFFF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13D-4B01-8ECF-CE9DFB3D0FC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37415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Statistics!$CS$26:$CS$31</c:f>
              <c:strCache>
                <c:ptCount val="6"/>
                <c:pt idx="0">
                  <c:v>Laptop</c:v>
                </c:pt>
                <c:pt idx="1">
                  <c:v>Soap</c:v>
                </c:pt>
                <c:pt idx="2">
                  <c:v>Cement</c:v>
                </c:pt>
                <c:pt idx="3">
                  <c:v>Rice</c:v>
                </c:pt>
                <c:pt idx="4">
                  <c:v>Noodles</c:v>
                </c:pt>
                <c:pt idx="5">
                  <c:v>Sugar</c:v>
                </c:pt>
              </c:strCache>
            </c:strRef>
          </c:cat>
          <c:val>
            <c:numRef>
              <c:f>Statistics!$CT$26:$CT$31</c:f>
              <c:numCache>
                <c:formatCode>#,##0</c:formatCode>
                <c:ptCount val="6"/>
                <c:pt idx="0">
                  <c:v>23366658910</c:v>
                </c:pt>
                <c:pt idx="1">
                  <c:v>13659856374</c:v>
                </c:pt>
                <c:pt idx="2">
                  <c:v>11326536620</c:v>
                </c:pt>
                <c:pt idx="3">
                  <c:v>6920606258</c:v>
                </c:pt>
                <c:pt idx="4">
                  <c:v>5031054298</c:v>
                </c:pt>
                <c:pt idx="5">
                  <c:v>2646079294</c:v>
                </c:pt>
              </c:numCache>
            </c:numRef>
          </c:val>
          <c:extLst>
            <c:ext xmlns:c15="http://schemas.microsoft.com/office/drawing/2012/chart" uri="{02D57815-91ED-43cb-92C2-25804820EDAC}">
              <c15:datalabelsRange>
                <c15:f>Statistics!$CV$26:$CV$31</c15:f>
                <c15:dlblRangeCache>
                  <c:ptCount val="6"/>
                  <c:pt idx="0">
                    <c:v>23.37B</c:v>
                  </c:pt>
                  <c:pt idx="1">
                    <c:v>13.66B</c:v>
                  </c:pt>
                  <c:pt idx="2">
                    <c:v>11.33B</c:v>
                  </c:pt>
                  <c:pt idx="3">
                    <c:v>6.92B</c:v>
                  </c:pt>
                  <c:pt idx="4">
                    <c:v>5.03B</c:v>
                  </c:pt>
                  <c:pt idx="5">
                    <c:v>2.65B</c:v>
                  </c:pt>
                </c15:dlblRangeCache>
              </c15:datalabelsRange>
            </c:ext>
            <c:ext xmlns:c16="http://schemas.microsoft.com/office/drawing/2014/chart" uri="{C3380CC4-5D6E-409C-BE32-E72D297353CC}">
              <c16:uniqueId val="{00000000-313D-4B01-8ECF-CE9DFB3D0FCB}"/>
            </c:ext>
          </c:extLst>
        </c:ser>
        <c:ser>
          <c:idx val="1"/>
          <c:order val="1"/>
          <c:tx>
            <c:strRef>
              <c:f>Statistics!$CU$25</c:f>
              <c:strCache>
                <c:ptCount val="1"/>
                <c:pt idx="0">
                  <c:v>Max</c:v>
                </c:pt>
              </c:strCache>
            </c:strRef>
          </c:tx>
          <c:spPr>
            <a:solidFill>
              <a:schemeClr val="accent2"/>
            </a:solidFill>
            <a:ln>
              <a:noFill/>
            </a:ln>
            <a:effectLst/>
          </c:spPr>
          <c:invertIfNegative val="0"/>
          <c:dLbls>
            <c:delete val="1"/>
          </c:dLbls>
          <c:cat>
            <c:strRef>
              <c:f>Statistics!$CS$26:$CS$31</c:f>
              <c:strCache>
                <c:ptCount val="6"/>
                <c:pt idx="0">
                  <c:v>Laptop</c:v>
                </c:pt>
                <c:pt idx="1">
                  <c:v>Soap</c:v>
                </c:pt>
                <c:pt idx="2">
                  <c:v>Cement</c:v>
                </c:pt>
                <c:pt idx="3">
                  <c:v>Rice</c:v>
                </c:pt>
                <c:pt idx="4">
                  <c:v>Noodles</c:v>
                </c:pt>
                <c:pt idx="5">
                  <c:v>Sugar</c:v>
                </c:pt>
              </c:strCache>
            </c:strRef>
          </c:cat>
          <c:val>
            <c:numRef>
              <c:f>Statistics!$CU$26:$CU$31</c:f>
              <c:numCache>
                <c:formatCode>#,##0</c:formatCode>
                <c:ptCount val="6"/>
                <c:pt idx="0">
                  <c:v>23366658910</c:v>
                </c:pt>
                <c:pt idx="1">
                  <c:v>0</c:v>
                </c:pt>
                <c:pt idx="2">
                  <c:v>0</c:v>
                </c:pt>
                <c:pt idx="3">
                  <c:v>0</c:v>
                </c:pt>
                <c:pt idx="4">
                  <c:v>0</c:v>
                </c:pt>
                <c:pt idx="5">
                  <c:v>0</c:v>
                </c:pt>
              </c:numCache>
            </c:numRef>
          </c:val>
          <c:extLst>
            <c:ext xmlns:c16="http://schemas.microsoft.com/office/drawing/2014/chart" uri="{C3380CC4-5D6E-409C-BE32-E72D297353CC}">
              <c16:uniqueId val="{00000001-313D-4B01-8ECF-CE9DFB3D0FCB}"/>
            </c:ext>
          </c:extLst>
        </c:ser>
        <c:ser>
          <c:idx val="2"/>
          <c:order val="2"/>
          <c:tx>
            <c:strRef>
              <c:f>Statistics!#REF!</c:f>
              <c:strCache>
                <c:ptCount val="1"/>
                <c:pt idx="0">
                  <c:v>#REF!</c:v>
                </c:pt>
              </c:strCache>
            </c:strRef>
          </c:tx>
          <c:spPr>
            <a:solidFill>
              <a:schemeClr val="accent3"/>
            </a:solidFill>
            <a:ln>
              <a:noFill/>
            </a:ln>
            <a:effectLst/>
          </c:spPr>
          <c:invertIfNegative val="0"/>
          <c:dLbls>
            <c:delete val="1"/>
          </c:dLbls>
          <c:cat>
            <c:strRef>
              <c:f>Statistics!$CS$26:$CS$31</c:f>
              <c:strCache>
                <c:ptCount val="6"/>
                <c:pt idx="0">
                  <c:v>Laptop</c:v>
                </c:pt>
                <c:pt idx="1">
                  <c:v>Soap</c:v>
                </c:pt>
                <c:pt idx="2">
                  <c:v>Cement</c:v>
                </c:pt>
                <c:pt idx="3">
                  <c:v>Rice</c:v>
                </c:pt>
                <c:pt idx="4">
                  <c:v>Noodles</c:v>
                </c:pt>
                <c:pt idx="5">
                  <c:v>Sugar</c:v>
                </c:pt>
              </c:strCache>
            </c:strRef>
          </c:cat>
          <c:val>
            <c:numRef>
              <c:f>Statistics!#REF!</c:f>
              <c:numCache>
                <c:formatCode>General</c:formatCode>
                <c:ptCount val="1"/>
                <c:pt idx="0">
                  <c:v>1</c:v>
                </c:pt>
              </c:numCache>
            </c:numRef>
          </c:val>
          <c:extLst>
            <c:ext xmlns:c16="http://schemas.microsoft.com/office/drawing/2014/chart" uri="{C3380CC4-5D6E-409C-BE32-E72D297353CC}">
              <c16:uniqueId val="{00000002-313D-4B01-8ECF-CE9DFB3D0FCB}"/>
            </c:ext>
          </c:extLst>
        </c:ser>
        <c:dLbls>
          <c:dLblPos val="outEnd"/>
          <c:showLegendKey val="0"/>
          <c:showVal val="1"/>
          <c:showCatName val="0"/>
          <c:showSerName val="0"/>
          <c:showPercent val="0"/>
          <c:showBubbleSize val="0"/>
        </c:dLbls>
        <c:gapWidth val="40"/>
        <c:overlap val="100"/>
        <c:axId val="1872502511"/>
        <c:axId val="1861091087"/>
      </c:barChart>
      <c:catAx>
        <c:axId val="18725025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57D9"/>
                </a:solidFill>
                <a:latin typeface="+mn-lt"/>
                <a:ea typeface="+mn-ea"/>
                <a:cs typeface="+mn-cs"/>
              </a:defRPr>
            </a:pPr>
            <a:endParaRPr lang="en-US"/>
          </a:p>
        </c:txPr>
        <c:crossAx val="1861091087"/>
        <c:crosses val="autoZero"/>
        <c:auto val="1"/>
        <c:lblAlgn val="ctr"/>
        <c:lblOffset val="100"/>
        <c:noMultiLvlLbl val="0"/>
      </c:catAx>
      <c:valAx>
        <c:axId val="1861091087"/>
        <c:scaling>
          <c:orientation val="minMax"/>
        </c:scaling>
        <c:delete val="1"/>
        <c:axPos val="t"/>
        <c:numFmt formatCode="#,##0" sourceLinked="1"/>
        <c:majorTickMark val="none"/>
        <c:minorTickMark val="none"/>
        <c:tickLblPos val="nextTo"/>
        <c:crossAx val="18725025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Statistics!$DV$22</c:f>
              <c:strCache>
                <c:ptCount val="1"/>
                <c:pt idx="0">
                  <c:v>Sum of Total Sales</c:v>
                </c:pt>
              </c:strCache>
            </c:strRef>
          </c:tx>
          <c:spPr>
            <a:solidFill>
              <a:schemeClr val="bg1">
                <a:lumMod val="85000"/>
              </a:schemeClr>
            </a:solidFill>
            <a:ln>
              <a:noFill/>
            </a:ln>
            <a:effectLst/>
          </c:spPr>
          <c:invertIfNegative val="0"/>
          <c:dLbls>
            <c:dLbl>
              <c:idx val="0"/>
              <c:tx>
                <c:rich>
                  <a:bodyPr/>
                  <a:lstStyle/>
                  <a:p>
                    <a:fld id="{D54A7CFC-F59E-4607-8CD8-E5667B91C9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ECF-45E4-ABB1-CB5AF2DF3DA3}"/>
                </c:ext>
              </c:extLst>
            </c:dLbl>
            <c:dLbl>
              <c:idx val="1"/>
              <c:tx>
                <c:rich>
                  <a:bodyPr/>
                  <a:lstStyle/>
                  <a:p>
                    <a:fld id="{B608BBD0-2606-40B1-B3C7-4DC5E5FB50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ECF-45E4-ABB1-CB5AF2DF3DA3}"/>
                </c:ext>
              </c:extLst>
            </c:dLbl>
            <c:dLbl>
              <c:idx val="2"/>
              <c:tx>
                <c:rich>
                  <a:bodyPr/>
                  <a:lstStyle/>
                  <a:p>
                    <a:fld id="{EEA1C1A0-13FC-43CE-A7DF-DF6AAD6AAF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ECF-45E4-ABB1-CB5AF2DF3DA3}"/>
                </c:ext>
              </c:extLst>
            </c:dLbl>
            <c:dLbl>
              <c:idx val="3"/>
              <c:tx>
                <c:rich>
                  <a:bodyPr/>
                  <a:lstStyle/>
                  <a:p>
                    <a:fld id="{6459F2B8-F3E2-4A81-A7C9-8C8C46C880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ECF-45E4-ABB1-CB5AF2DF3DA3}"/>
                </c:ext>
              </c:extLst>
            </c:dLbl>
            <c:dLbl>
              <c:idx val="4"/>
              <c:tx>
                <c:rich>
                  <a:bodyPr/>
                  <a:lstStyle/>
                  <a:p>
                    <a:fld id="{D217D5DA-B046-4677-992A-0ACB00C12F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ECF-45E4-ABB1-CB5AF2DF3DA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7415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Statistics!$DU$23:$DU$27</c:f>
              <c:strCache>
                <c:ptCount val="5"/>
                <c:pt idx="0">
                  <c:v>Port Harcourt</c:v>
                </c:pt>
                <c:pt idx="1">
                  <c:v>Abuja</c:v>
                </c:pt>
                <c:pt idx="2">
                  <c:v>Lagos</c:v>
                </c:pt>
                <c:pt idx="3">
                  <c:v>Not Assigned</c:v>
                </c:pt>
                <c:pt idx="4">
                  <c:v>Kano</c:v>
                </c:pt>
              </c:strCache>
            </c:strRef>
          </c:cat>
          <c:val>
            <c:numRef>
              <c:f>Statistics!$DV$23:$DV$27</c:f>
              <c:numCache>
                <c:formatCode>General</c:formatCode>
                <c:ptCount val="5"/>
                <c:pt idx="0">
                  <c:v>29916467126</c:v>
                </c:pt>
                <c:pt idx="1">
                  <c:v>13347114562</c:v>
                </c:pt>
                <c:pt idx="2">
                  <c:v>12240770116</c:v>
                </c:pt>
                <c:pt idx="3">
                  <c:v>4776068802</c:v>
                </c:pt>
                <c:pt idx="4">
                  <c:v>2670371148</c:v>
                </c:pt>
              </c:numCache>
            </c:numRef>
          </c:val>
          <c:extLst>
            <c:ext xmlns:c15="http://schemas.microsoft.com/office/drawing/2012/chart" uri="{02D57815-91ED-43cb-92C2-25804820EDAC}">
              <c15:datalabelsRange>
                <c15:f>Statistics!$DX$23:$DX$27</c15:f>
                <c15:dlblRangeCache>
                  <c:ptCount val="5"/>
                  <c:pt idx="0">
                    <c:v>29.92B</c:v>
                  </c:pt>
                  <c:pt idx="1">
                    <c:v>13.35B</c:v>
                  </c:pt>
                  <c:pt idx="2">
                    <c:v>12.24B</c:v>
                  </c:pt>
                  <c:pt idx="3">
                    <c:v>4.78B</c:v>
                  </c:pt>
                  <c:pt idx="4">
                    <c:v>2.67B</c:v>
                  </c:pt>
                </c15:dlblRangeCache>
              </c15:datalabelsRange>
            </c:ext>
            <c:ext xmlns:c16="http://schemas.microsoft.com/office/drawing/2014/chart" uri="{C3380CC4-5D6E-409C-BE32-E72D297353CC}">
              <c16:uniqueId val="{00000000-AECF-45E4-ABB1-CB5AF2DF3DA3}"/>
            </c:ext>
          </c:extLst>
        </c:ser>
        <c:ser>
          <c:idx val="1"/>
          <c:order val="1"/>
          <c:tx>
            <c:strRef>
              <c:f>Statistics!$DW$22</c:f>
              <c:strCache>
                <c:ptCount val="1"/>
                <c:pt idx="0">
                  <c:v>Max</c:v>
                </c:pt>
              </c:strCache>
            </c:strRef>
          </c:tx>
          <c:spPr>
            <a:solidFill>
              <a:schemeClr val="accent2"/>
            </a:solidFill>
            <a:ln>
              <a:noFill/>
            </a:ln>
            <a:effectLst/>
          </c:spPr>
          <c:invertIfNegative val="0"/>
          <c:dLbls>
            <c:delete val="1"/>
          </c:dLbls>
          <c:cat>
            <c:strRef>
              <c:f>Statistics!$DU$23:$DU$27</c:f>
              <c:strCache>
                <c:ptCount val="5"/>
                <c:pt idx="0">
                  <c:v>Port Harcourt</c:v>
                </c:pt>
                <c:pt idx="1">
                  <c:v>Abuja</c:v>
                </c:pt>
                <c:pt idx="2">
                  <c:v>Lagos</c:v>
                </c:pt>
                <c:pt idx="3">
                  <c:v>Not Assigned</c:v>
                </c:pt>
                <c:pt idx="4">
                  <c:v>Kano</c:v>
                </c:pt>
              </c:strCache>
            </c:strRef>
          </c:cat>
          <c:val>
            <c:numRef>
              <c:f>Statistics!$DW$23:$DW$27</c:f>
              <c:numCache>
                <c:formatCode>#,##0</c:formatCode>
                <c:ptCount val="5"/>
                <c:pt idx="0">
                  <c:v>29916467126</c:v>
                </c:pt>
                <c:pt idx="1">
                  <c:v>0</c:v>
                </c:pt>
                <c:pt idx="2">
                  <c:v>0</c:v>
                </c:pt>
                <c:pt idx="3">
                  <c:v>0</c:v>
                </c:pt>
                <c:pt idx="4">
                  <c:v>0</c:v>
                </c:pt>
              </c:numCache>
            </c:numRef>
          </c:val>
          <c:extLst>
            <c:ext xmlns:c16="http://schemas.microsoft.com/office/drawing/2014/chart" uri="{C3380CC4-5D6E-409C-BE32-E72D297353CC}">
              <c16:uniqueId val="{00000001-AECF-45E4-ABB1-CB5AF2DF3DA3}"/>
            </c:ext>
          </c:extLst>
        </c:ser>
        <c:ser>
          <c:idx val="2"/>
          <c:order val="2"/>
          <c:tx>
            <c:strRef>
              <c:f>Statistics!#REF!</c:f>
              <c:strCache>
                <c:ptCount val="1"/>
                <c:pt idx="0">
                  <c:v>#REF!</c:v>
                </c:pt>
              </c:strCache>
            </c:strRef>
          </c:tx>
          <c:spPr>
            <a:solidFill>
              <a:schemeClr val="accent3"/>
            </a:solidFill>
            <a:ln>
              <a:noFill/>
            </a:ln>
            <a:effectLst/>
          </c:spPr>
          <c:invertIfNegative val="0"/>
          <c:dLbls>
            <c:delete val="1"/>
          </c:dLbls>
          <c:cat>
            <c:strRef>
              <c:f>Statistics!$DU$23:$DU$27</c:f>
              <c:strCache>
                <c:ptCount val="5"/>
                <c:pt idx="0">
                  <c:v>Port Harcourt</c:v>
                </c:pt>
                <c:pt idx="1">
                  <c:v>Abuja</c:v>
                </c:pt>
                <c:pt idx="2">
                  <c:v>Lagos</c:v>
                </c:pt>
                <c:pt idx="3">
                  <c:v>Not Assigned</c:v>
                </c:pt>
                <c:pt idx="4">
                  <c:v>Kano</c:v>
                </c:pt>
              </c:strCache>
            </c:strRef>
          </c:cat>
          <c:val>
            <c:numRef>
              <c:f>Statistics!#REF!</c:f>
              <c:numCache>
                <c:formatCode>General</c:formatCode>
                <c:ptCount val="1"/>
                <c:pt idx="0">
                  <c:v>1</c:v>
                </c:pt>
              </c:numCache>
            </c:numRef>
          </c:val>
          <c:extLst>
            <c:ext xmlns:c16="http://schemas.microsoft.com/office/drawing/2014/chart" uri="{C3380CC4-5D6E-409C-BE32-E72D297353CC}">
              <c16:uniqueId val="{00000002-AECF-45E4-ABB1-CB5AF2DF3DA3}"/>
            </c:ext>
          </c:extLst>
        </c:ser>
        <c:dLbls>
          <c:dLblPos val="outEnd"/>
          <c:showLegendKey val="0"/>
          <c:showVal val="1"/>
          <c:showCatName val="0"/>
          <c:showSerName val="0"/>
          <c:showPercent val="0"/>
          <c:showBubbleSize val="0"/>
        </c:dLbls>
        <c:gapWidth val="40"/>
        <c:overlap val="100"/>
        <c:axId val="1872499727"/>
        <c:axId val="1861085807"/>
      </c:barChart>
      <c:catAx>
        <c:axId val="18724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57D9"/>
                </a:solidFill>
                <a:latin typeface="+mn-lt"/>
                <a:ea typeface="+mn-ea"/>
                <a:cs typeface="+mn-cs"/>
              </a:defRPr>
            </a:pPr>
            <a:endParaRPr lang="en-US"/>
          </a:p>
        </c:txPr>
        <c:crossAx val="1861085807"/>
        <c:crosses val="autoZero"/>
        <c:auto val="1"/>
        <c:lblAlgn val="ctr"/>
        <c:lblOffset val="100"/>
        <c:noMultiLvlLbl val="0"/>
      </c:catAx>
      <c:valAx>
        <c:axId val="1861085807"/>
        <c:scaling>
          <c:orientation val="minMax"/>
        </c:scaling>
        <c:delete val="1"/>
        <c:axPos val="l"/>
        <c:numFmt formatCode="General" sourceLinked="1"/>
        <c:majorTickMark val="none"/>
        <c:minorTickMark val="none"/>
        <c:tickLblPos val="nextTo"/>
        <c:crossAx val="18724997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Statistics!$EH$21</c:f>
              <c:strCache>
                <c:ptCount val="1"/>
                <c:pt idx="0">
                  <c:v>Average of Delivery_Days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7415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Statistics!$EG$22:$EG$26</c:f>
              <c:strCache>
                <c:ptCount val="5"/>
                <c:pt idx="0">
                  <c:v>Port Harcourt</c:v>
                </c:pt>
                <c:pt idx="1">
                  <c:v>Kano</c:v>
                </c:pt>
                <c:pt idx="2">
                  <c:v>Abuja</c:v>
                </c:pt>
                <c:pt idx="3">
                  <c:v>Lagos</c:v>
                </c:pt>
                <c:pt idx="4">
                  <c:v>Not Assigned</c:v>
                </c:pt>
              </c:strCache>
            </c:strRef>
          </c:cat>
          <c:val>
            <c:numRef>
              <c:f>Statistics!$EH$22:$EH$26</c:f>
              <c:numCache>
                <c:formatCode>#\ "Days"</c:formatCode>
                <c:ptCount val="5"/>
                <c:pt idx="0">
                  <c:v>36.156682027649772</c:v>
                </c:pt>
                <c:pt idx="1">
                  <c:v>35.023809523809526</c:v>
                </c:pt>
                <c:pt idx="2">
                  <c:v>33.68181818181818</c:v>
                </c:pt>
                <c:pt idx="3">
                  <c:v>30.333333333333332</c:v>
                </c:pt>
                <c:pt idx="4">
                  <c:v>23.469387755102041</c:v>
                </c:pt>
              </c:numCache>
            </c:numRef>
          </c:val>
          <c:extLst>
            <c:ext xmlns:c16="http://schemas.microsoft.com/office/drawing/2014/chart" uri="{C3380CC4-5D6E-409C-BE32-E72D297353CC}">
              <c16:uniqueId val="{00000000-E3CA-4025-A57D-4CAEFEE70497}"/>
            </c:ext>
          </c:extLst>
        </c:ser>
        <c:ser>
          <c:idx val="1"/>
          <c:order val="1"/>
          <c:tx>
            <c:strRef>
              <c:f>Statistics!$EI$21</c:f>
              <c:strCache>
                <c:ptCount val="1"/>
                <c:pt idx="0">
                  <c:v>Max</c:v>
                </c:pt>
              </c:strCache>
            </c:strRef>
          </c:tx>
          <c:spPr>
            <a:solidFill>
              <a:schemeClr val="accent2"/>
            </a:solidFill>
            <a:ln>
              <a:noFill/>
            </a:ln>
            <a:effectLst/>
          </c:spPr>
          <c:invertIfNegative val="0"/>
          <c:dLbls>
            <c:delete val="1"/>
          </c:dLbls>
          <c:cat>
            <c:strRef>
              <c:f>Statistics!$EG$22:$EG$26</c:f>
              <c:strCache>
                <c:ptCount val="5"/>
                <c:pt idx="0">
                  <c:v>Port Harcourt</c:v>
                </c:pt>
                <c:pt idx="1">
                  <c:v>Kano</c:v>
                </c:pt>
                <c:pt idx="2">
                  <c:v>Abuja</c:v>
                </c:pt>
                <c:pt idx="3">
                  <c:v>Lagos</c:v>
                </c:pt>
                <c:pt idx="4">
                  <c:v>Not Assigned</c:v>
                </c:pt>
              </c:strCache>
            </c:strRef>
          </c:cat>
          <c:val>
            <c:numRef>
              <c:f>Statistics!$EI$22:$EI$26</c:f>
              <c:numCache>
                <c:formatCode>General</c:formatCode>
                <c:ptCount val="5"/>
                <c:pt idx="0">
                  <c:v>36.156682027649772</c:v>
                </c:pt>
                <c:pt idx="1">
                  <c:v>0</c:v>
                </c:pt>
                <c:pt idx="2">
                  <c:v>0</c:v>
                </c:pt>
                <c:pt idx="3">
                  <c:v>0</c:v>
                </c:pt>
                <c:pt idx="4">
                  <c:v>0</c:v>
                </c:pt>
              </c:numCache>
            </c:numRef>
          </c:val>
          <c:extLst>
            <c:ext xmlns:c16="http://schemas.microsoft.com/office/drawing/2014/chart" uri="{C3380CC4-5D6E-409C-BE32-E72D297353CC}">
              <c16:uniqueId val="{00000001-E3CA-4025-A57D-4CAEFEE70497}"/>
            </c:ext>
          </c:extLst>
        </c:ser>
        <c:ser>
          <c:idx val="2"/>
          <c:order val="2"/>
          <c:tx>
            <c:strRef>
              <c:f>Statistics!$EJ$21</c:f>
              <c:strCache>
                <c:ptCount val="1"/>
              </c:strCache>
            </c:strRef>
          </c:tx>
          <c:spPr>
            <a:solidFill>
              <a:schemeClr val="accent3"/>
            </a:solidFill>
            <a:ln>
              <a:noFill/>
            </a:ln>
            <a:effectLst/>
          </c:spPr>
          <c:invertIfNegative val="0"/>
          <c:dLbls>
            <c:delete val="1"/>
          </c:dLbls>
          <c:cat>
            <c:strRef>
              <c:f>Statistics!$EG$22:$EG$26</c:f>
              <c:strCache>
                <c:ptCount val="5"/>
                <c:pt idx="0">
                  <c:v>Port Harcourt</c:v>
                </c:pt>
                <c:pt idx="1">
                  <c:v>Kano</c:v>
                </c:pt>
                <c:pt idx="2">
                  <c:v>Abuja</c:v>
                </c:pt>
                <c:pt idx="3">
                  <c:v>Lagos</c:v>
                </c:pt>
                <c:pt idx="4">
                  <c:v>Not Assigned</c:v>
                </c:pt>
              </c:strCache>
            </c:strRef>
          </c:cat>
          <c:val>
            <c:numRef>
              <c:f>Statistics!$EJ$22:$EJ$26</c:f>
              <c:numCache>
                <c:formatCode>General</c:formatCode>
                <c:ptCount val="5"/>
              </c:numCache>
            </c:numRef>
          </c:val>
          <c:extLst>
            <c:ext xmlns:c16="http://schemas.microsoft.com/office/drawing/2014/chart" uri="{C3380CC4-5D6E-409C-BE32-E72D297353CC}">
              <c16:uniqueId val="{00000002-E3CA-4025-A57D-4CAEFEE70497}"/>
            </c:ext>
          </c:extLst>
        </c:ser>
        <c:dLbls>
          <c:dLblPos val="outEnd"/>
          <c:showLegendKey val="0"/>
          <c:showVal val="1"/>
          <c:showCatName val="0"/>
          <c:showSerName val="0"/>
          <c:showPercent val="0"/>
          <c:showBubbleSize val="0"/>
        </c:dLbls>
        <c:gapWidth val="40"/>
        <c:overlap val="100"/>
        <c:axId val="1995584159"/>
        <c:axId val="1861076207"/>
      </c:barChart>
      <c:catAx>
        <c:axId val="1995584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57D9"/>
                </a:solidFill>
                <a:latin typeface="+mn-lt"/>
                <a:ea typeface="+mn-ea"/>
                <a:cs typeface="+mn-cs"/>
              </a:defRPr>
            </a:pPr>
            <a:endParaRPr lang="en-US"/>
          </a:p>
        </c:txPr>
        <c:crossAx val="1861076207"/>
        <c:crosses val="autoZero"/>
        <c:auto val="1"/>
        <c:lblAlgn val="ctr"/>
        <c:lblOffset val="100"/>
        <c:noMultiLvlLbl val="0"/>
      </c:catAx>
      <c:valAx>
        <c:axId val="1861076207"/>
        <c:scaling>
          <c:orientation val="minMax"/>
        </c:scaling>
        <c:delete val="1"/>
        <c:axPos val="l"/>
        <c:numFmt formatCode="#\ &quot;Days&quot;" sourceLinked="1"/>
        <c:majorTickMark val="out"/>
        <c:minorTickMark val="none"/>
        <c:tickLblPos val="nextTo"/>
        <c:crossAx val="19955841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Statistics!$DM$21</c:f>
              <c:strCache>
                <c:ptCount val="1"/>
                <c:pt idx="0">
                  <c:v>Sum of Total Sales</c:v>
                </c:pt>
              </c:strCache>
            </c:strRef>
          </c:tx>
          <c:spPr>
            <a:solidFill>
              <a:schemeClr val="bg1">
                <a:lumMod val="85000"/>
              </a:schemeClr>
            </a:solidFill>
            <a:ln>
              <a:noFill/>
            </a:ln>
            <a:effectLst/>
          </c:spPr>
          <c:invertIfNegative val="0"/>
          <c:dLbls>
            <c:dLbl>
              <c:idx val="0"/>
              <c:tx>
                <c:rich>
                  <a:bodyPr/>
                  <a:lstStyle/>
                  <a:p>
                    <a:fld id="{907BBB12-53EF-4A85-A402-E2A1FCE721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A4D-4FEB-ADFA-65B58FB852AC}"/>
                </c:ext>
              </c:extLst>
            </c:dLbl>
            <c:dLbl>
              <c:idx val="1"/>
              <c:tx>
                <c:rich>
                  <a:bodyPr/>
                  <a:lstStyle/>
                  <a:p>
                    <a:fld id="{3521AD4F-0FC3-491F-A08D-41A848B079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A4D-4FEB-ADFA-65B58FB852AC}"/>
                </c:ext>
              </c:extLst>
            </c:dLbl>
            <c:dLbl>
              <c:idx val="2"/>
              <c:tx>
                <c:rich>
                  <a:bodyPr/>
                  <a:lstStyle/>
                  <a:p>
                    <a:fld id="{7F90536A-7959-44F6-8C84-44D4245D9E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A4D-4FEB-ADFA-65B58FB852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7415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Statistics!$DL$22:$DL$24</c:f>
              <c:strCache>
                <c:ptCount val="3"/>
                <c:pt idx="0">
                  <c:v>North East</c:v>
                </c:pt>
                <c:pt idx="1">
                  <c:v>South-South</c:v>
                </c:pt>
                <c:pt idx="2">
                  <c:v>South-West</c:v>
                </c:pt>
              </c:strCache>
            </c:strRef>
          </c:cat>
          <c:val>
            <c:numRef>
              <c:f>Statistics!$DM$22:$DM$24</c:f>
              <c:numCache>
                <c:formatCode>General</c:formatCode>
                <c:ptCount val="3"/>
                <c:pt idx="0">
                  <c:v>4943582294</c:v>
                </c:pt>
                <c:pt idx="1">
                  <c:v>48161966148</c:v>
                </c:pt>
                <c:pt idx="2">
                  <c:v>9845243312</c:v>
                </c:pt>
              </c:numCache>
            </c:numRef>
          </c:val>
          <c:extLst>
            <c:ext xmlns:c15="http://schemas.microsoft.com/office/drawing/2012/chart" uri="{02D57815-91ED-43cb-92C2-25804820EDAC}">
              <c15:datalabelsRange>
                <c15:f>Statistics!$DO$22:$DO$24</c15:f>
                <c15:dlblRangeCache>
                  <c:ptCount val="3"/>
                  <c:pt idx="0">
                    <c:v>7.9%</c:v>
                  </c:pt>
                  <c:pt idx="1">
                    <c:v>76.5%</c:v>
                  </c:pt>
                  <c:pt idx="2">
                    <c:v>15.6%</c:v>
                  </c:pt>
                </c15:dlblRangeCache>
              </c15:datalabelsRange>
            </c:ext>
            <c:ext xmlns:c16="http://schemas.microsoft.com/office/drawing/2014/chart" uri="{C3380CC4-5D6E-409C-BE32-E72D297353CC}">
              <c16:uniqueId val="{00000003-3A4D-4FEB-ADFA-65B58FB852AC}"/>
            </c:ext>
          </c:extLst>
        </c:ser>
        <c:ser>
          <c:idx val="1"/>
          <c:order val="1"/>
          <c:tx>
            <c:strRef>
              <c:f>Statistics!$DN$21</c:f>
              <c:strCache>
                <c:ptCount val="1"/>
              </c:strCache>
            </c:strRef>
          </c:tx>
          <c:spPr>
            <a:solidFill>
              <a:schemeClr val="accent2"/>
            </a:solidFill>
            <a:ln>
              <a:noFill/>
            </a:ln>
            <a:effectLst/>
          </c:spPr>
          <c:invertIfNegative val="0"/>
          <c:dLbls>
            <c:delete val="1"/>
          </c:dLbls>
          <c:cat>
            <c:strRef>
              <c:f>Statistics!$DL$22:$DL$24</c:f>
              <c:strCache>
                <c:ptCount val="3"/>
                <c:pt idx="0">
                  <c:v>North East</c:v>
                </c:pt>
                <c:pt idx="1">
                  <c:v>South-South</c:v>
                </c:pt>
                <c:pt idx="2">
                  <c:v>South-West</c:v>
                </c:pt>
              </c:strCache>
            </c:strRef>
          </c:cat>
          <c:val>
            <c:numRef>
              <c:f>Statistics!$DN$22:$DN$24</c:f>
              <c:numCache>
                <c:formatCode>General</c:formatCode>
                <c:ptCount val="3"/>
                <c:pt idx="0">
                  <c:v>0</c:v>
                </c:pt>
                <c:pt idx="1">
                  <c:v>48161966148</c:v>
                </c:pt>
                <c:pt idx="2">
                  <c:v>0</c:v>
                </c:pt>
              </c:numCache>
            </c:numRef>
          </c:val>
          <c:extLst>
            <c:ext xmlns:c16="http://schemas.microsoft.com/office/drawing/2014/chart" uri="{C3380CC4-5D6E-409C-BE32-E72D297353CC}">
              <c16:uniqueId val="{00000004-3A4D-4FEB-ADFA-65B58FB852AC}"/>
            </c:ext>
          </c:extLst>
        </c:ser>
        <c:dLbls>
          <c:dLblPos val="outEnd"/>
          <c:showLegendKey val="0"/>
          <c:showVal val="1"/>
          <c:showCatName val="0"/>
          <c:showSerName val="0"/>
          <c:showPercent val="0"/>
          <c:showBubbleSize val="0"/>
        </c:dLbls>
        <c:gapWidth val="45"/>
        <c:overlap val="100"/>
        <c:axId val="745530943"/>
        <c:axId val="503041647"/>
      </c:barChart>
      <c:catAx>
        <c:axId val="74553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57D9"/>
                </a:solidFill>
                <a:latin typeface="+mn-lt"/>
                <a:ea typeface="+mn-ea"/>
                <a:cs typeface="+mn-cs"/>
              </a:defRPr>
            </a:pPr>
            <a:endParaRPr lang="en-US"/>
          </a:p>
        </c:txPr>
        <c:crossAx val="503041647"/>
        <c:crosses val="autoZero"/>
        <c:auto val="1"/>
        <c:lblAlgn val="ctr"/>
        <c:lblOffset val="100"/>
        <c:noMultiLvlLbl val="0"/>
      </c:catAx>
      <c:valAx>
        <c:axId val="503041647"/>
        <c:scaling>
          <c:orientation val="minMax"/>
        </c:scaling>
        <c:delete val="1"/>
        <c:axPos val="l"/>
        <c:numFmt formatCode="General" sourceLinked="1"/>
        <c:majorTickMark val="none"/>
        <c:minorTickMark val="none"/>
        <c:tickLblPos val="nextTo"/>
        <c:crossAx val="7455309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Statistics!$CJ$14" lockText="1" noThreeD="1"/>
</file>

<file path=xl/ctrlProps/ctrlProp2.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234950</xdr:colOff>
      <xdr:row>0</xdr:row>
      <xdr:rowOff>63500</xdr:rowOff>
    </xdr:from>
    <xdr:to>
      <xdr:col>2</xdr:col>
      <xdr:colOff>279400</xdr:colOff>
      <xdr:row>28</xdr:row>
      <xdr:rowOff>38100</xdr:rowOff>
    </xdr:to>
    <xdr:sp macro="" textlink="">
      <xdr:nvSpPr>
        <xdr:cNvPr id="2" name="Rectangle: Rounded Corners 1">
          <a:extLst>
            <a:ext uri="{FF2B5EF4-FFF2-40B4-BE49-F238E27FC236}">
              <a16:creationId xmlns:a16="http://schemas.microsoft.com/office/drawing/2014/main" id="{7AE8A0BB-80E6-50EE-616A-41C609439867}"/>
            </a:ext>
          </a:extLst>
        </xdr:cNvPr>
        <xdr:cNvSpPr/>
      </xdr:nvSpPr>
      <xdr:spPr>
        <a:xfrm>
          <a:off x="234950" y="63500"/>
          <a:ext cx="1263650" cy="5130800"/>
        </a:xfrm>
        <a:prstGeom prst="roundRect">
          <a:avLst>
            <a:gd name="adj" fmla="val 8757"/>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488950</xdr:colOff>
      <xdr:row>0</xdr:row>
      <xdr:rowOff>63500</xdr:rowOff>
    </xdr:from>
    <xdr:to>
      <xdr:col>13</xdr:col>
      <xdr:colOff>514350</xdr:colOff>
      <xdr:row>8</xdr:row>
      <xdr:rowOff>31750</xdr:rowOff>
    </xdr:to>
    <xdr:sp macro="" textlink="">
      <xdr:nvSpPr>
        <xdr:cNvPr id="3" name="Rectangle: Rounded Corners 2">
          <a:extLst>
            <a:ext uri="{FF2B5EF4-FFF2-40B4-BE49-F238E27FC236}">
              <a16:creationId xmlns:a16="http://schemas.microsoft.com/office/drawing/2014/main" id="{AC5448B2-1732-6332-8D3A-BBBDBDF2353F}"/>
            </a:ext>
          </a:extLst>
        </xdr:cNvPr>
        <xdr:cNvSpPr/>
      </xdr:nvSpPr>
      <xdr:spPr>
        <a:xfrm>
          <a:off x="1708150" y="63500"/>
          <a:ext cx="6731000" cy="1441450"/>
        </a:xfrm>
        <a:prstGeom prst="roundRect">
          <a:avLst>
            <a:gd name="adj" fmla="val 5673"/>
          </a:avLst>
        </a:prstGeom>
        <a:solidFill>
          <a:srgbClr val="374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133350</xdr:colOff>
      <xdr:row>4</xdr:row>
      <xdr:rowOff>133350</xdr:rowOff>
    </xdr:from>
    <xdr:to>
      <xdr:col>6</xdr:col>
      <xdr:colOff>146050</xdr:colOff>
      <xdr:row>10</xdr:row>
      <xdr:rowOff>165100</xdr:rowOff>
    </xdr:to>
    <xdr:sp macro="" textlink="">
      <xdr:nvSpPr>
        <xdr:cNvPr id="4" name="Rectangle: Rounded Corners 3">
          <a:extLst>
            <a:ext uri="{FF2B5EF4-FFF2-40B4-BE49-F238E27FC236}">
              <a16:creationId xmlns:a16="http://schemas.microsoft.com/office/drawing/2014/main" id="{05F7E672-667C-8EA9-E30F-E992F244D76D}"/>
            </a:ext>
          </a:extLst>
        </xdr:cNvPr>
        <xdr:cNvSpPr/>
      </xdr:nvSpPr>
      <xdr:spPr>
        <a:xfrm>
          <a:off x="1962150" y="869950"/>
          <a:ext cx="1841500" cy="1136650"/>
        </a:xfrm>
        <a:prstGeom prst="roundRect">
          <a:avLst>
            <a:gd name="adj" fmla="val 22433"/>
          </a:avLst>
        </a:prstGeom>
        <a:solidFill>
          <a:schemeClr val="bg1"/>
        </a:solidFill>
        <a:ln>
          <a:noFill/>
        </a:ln>
        <a:effectLst>
          <a:outerShdw blurRad="50800" dist="38100" dir="5400000" algn="t" rotWithShape="0">
            <a:schemeClr val="accent1">
              <a:lumMod val="40000"/>
              <a:lumOff val="60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234950</xdr:colOff>
      <xdr:row>4</xdr:row>
      <xdr:rowOff>133350</xdr:rowOff>
    </xdr:from>
    <xdr:to>
      <xdr:col>13</xdr:col>
      <xdr:colOff>247650</xdr:colOff>
      <xdr:row>10</xdr:row>
      <xdr:rowOff>165100</xdr:rowOff>
    </xdr:to>
    <xdr:sp macro="" textlink="">
      <xdr:nvSpPr>
        <xdr:cNvPr id="5" name="Rectangle: Rounded Corners 4">
          <a:extLst>
            <a:ext uri="{FF2B5EF4-FFF2-40B4-BE49-F238E27FC236}">
              <a16:creationId xmlns:a16="http://schemas.microsoft.com/office/drawing/2014/main" id="{C362AEB7-2335-EFF7-5569-B167CF848939}"/>
            </a:ext>
          </a:extLst>
        </xdr:cNvPr>
        <xdr:cNvSpPr/>
      </xdr:nvSpPr>
      <xdr:spPr>
        <a:xfrm>
          <a:off x="6330950" y="869950"/>
          <a:ext cx="1841500" cy="1136650"/>
        </a:xfrm>
        <a:prstGeom prst="roundRect">
          <a:avLst>
            <a:gd name="adj" fmla="val 22433"/>
          </a:avLst>
        </a:prstGeom>
        <a:solidFill>
          <a:schemeClr val="bg1"/>
        </a:solidFill>
        <a:ln>
          <a:noFill/>
        </a:ln>
        <a:effectLst>
          <a:outerShdw blurRad="50800" dist="38100" dir="5400000" algn="t" rotWithShape="0">
            <a:schemeClr val="accent1">
              <a:lumMod val="40000"/>
              <a:lumOff val="60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488950</xdr:colOff>
      <xdr:row>4</xdr:row>
      <xdr:rowOff>133350</xdr:rowOff>
    </xdr:from>
    <xdr:to>
      <xdr:col>9</xdr:col>
      <xdr:colOff>501650</xdr:colOff>
      <xdr:row>10</xdr:row>
      <xdr:rowOff>165100</xdr:rowOff>
    </xdr:to>
    <xdr:sp macro="" textlink="">
      <xdr:nvSpPr>
        <xdr:cNvPr id="7" name="Rectangle: Rounded Corners 6">
          <a:extLst>
            <a:ext uri="{FF2B5EF4-FFF2-40B4-BE49-F238E27FC236}">
              <a16:creationId xmlns:a16="http://schemas.microsoft.com/office/drawing/2014/main" id="{79D610E3-2F8C-CF58-A1C6-3477DE49B84B}"/>
            </a:ext>
          </a:extLst>
        </xdr:cNvPr>
        <xdr:cNvSpPr/>
      </xdr:nvSpPr>
      <xdr:spPr>
        <a:xfrm>
          <a:off x="4146550" y="869950"/>
          <a:ext cx="1841500" cy="1136650"/>
        </a:xfrm>
        <a:prstGeom prst="roundRect">
          <a:avLst>
            <a:gd name="adj" fmla="val 22433"/>
          </a:avLst>
        </a:prstGeom>
        <a:solidFill>
          <a:schemeClr val="bg1"/>
        </a:solidFill>
        <a:ln>
          <a:noFill/>
        </a:ln>
        <a:effectLst>
          <a:outerShdw blurRad="50800" dist="38100" dir="5400000" algn="t" rotWithShape="0">
            <a:schemeClr val="accent1">
              <a:lumMod val="40000"/>
              <a:lumOff val="60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469900</xdr:colOff>
      <xdr:row>11</xdr:row>
      <xdr:rowOff>107950</xdr:rowOff>
    </xdr:from>
    <xdr:to>
      <xdr:col>9</xdr:col>
      <xdr:colOff>577850</xdr:colOff>
      <xdr:row>19</xdr:row>
      <xdr:rowOff>76200</xdr:rowOff>
    </xdr:to>
    <xdr:sp macro="" textlink="">
      <xdr:nvSpPr>
        <xdr:cNvPr id="8" name="Rectangle: Rounded Corners 7">
          <a:extLst>
            <a:ext uri="{FF2B5EF4-FFF2-40B4-BE49-F238E27FC236}">
              <a16:creationId xmlns:a16="http://schemas.microsoft.com/office/drawing/2014/main" id="{69203FFE-7BE0-73AC-0F11-9B574048CDDA}"/>
            </a:ext>
          </a:extLst>
        </xdr:cNvPr>
        <xdr:cNvSpPr/>
      </xdr:nvSpPr>
      <xdr:spPr>
        <a:xfrm>
          <a:off x="1689100" y="2133600"/>
          <a:ext cx="4375150" cy="144145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152400</xdr:colOff>
      <xdr:row>0</xdr:row>
      <xdr:rowOff>88900</xdr:rowOff>
    </xdr:from>
    <xdr:to>
      <xdr:col>18</xdr:col>
      <xdr:colOff>520700</xdr:colOff>
      <xdr:row>19</xdr:row>
      <xdr:rowOff>82550</xdr:rowOff>
    </xdr:to>
    <xdr:sp macro="" textlink="">
      <xdr:nvSpPr>
        <xdr:cNvPr id="10" name="Rectangle: Rounded Corners 9">
          <a:extLst>
            <a:ext uri="{FF2B5EF4-FFF2-40B4-BE49-F238E27FC236}">
              <a16:creationId xmlns:a16="http://schemas.microsoft.com/office/drawing/2014/main" id="{CEE04735-7A40-7807-03F3-BE49FBF18AF5}"/>
            </a:ext>
          </a:extLst>
        </xdr:cNvPr>
        <xdr:cNvSpPr/>
      </xdr:nvSpPr>
      <xdr:spPr>
        <a:xfrm>
          <a:off x="8686800" y="88900"/>
          <a:ext cx="2806700" cy="34925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469900</xdr:colOff>
      <xdr:row>20</xdr:row>
      <xdr:rowOff>25400</xdr:rowOff>
    </xdr:from>
    <xdr:to>
      <xdr:col>9</xdr:col>
      <xdr:colOff>577850</xdr:colOff>
      <xdr:row>28</xdr:row>
      <xdr:rowOff>88900</xdr:rowOff>
    </xdr:to>
    <xdr:sp macro="" textlink="">
      <xdr:nvSpPr>
        <xdr:cNvPr id="12" name="Rectangle: Rounded Corners 11">
          <a:extLst>
            <a:ext uri="{FF2B5EF4-FFF2-40B4-BE49-F238E27FC236}">
              <a16:creationId xmlns:a16="http://schemas.microsoft.com/office/drawing/2014/main" id="{70426801-A8B6-6364-577A-679E403655E7}"/>
            </a:ext>
          </a:extLst>
        </xdr:cNvPr>
        <xdr:cNvSpPr/>
      </xdr:nvSpPr>
      <xdr:spPr>
        <a:xfrm>
          <a:off x="1689100" y="3708400"/>
          <a:ext cx="4375150" cy="15367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95250</xdr:colOff>
      <xdr:row>20</xdr:row>
      <xdr:rowOff>38100</xdr:rowOff>
    </xdr:from>
    <xdr:to>
      <xdr:col>13</xdr:col>
      <xdr:colOff>514350</xdr:colOff>
      <xdr:row>28</xdr:row>
      <xdr:rowOff>88900</xdr:rowOff>
    </xdr:to>
    <xdr:sp macro="" textlink="">
      <xdr:nvSpPr>
        <xdr:cNvPr id="14" name="Rectangle: Rounded Corners 13">
          <a:extLst>
            <a:ext uri="{FF2B5EF4-FFF2-40B4-BE49-F238E27FC236}">
              <a16:creationId xmlns:a16="http://schemas.microsoft.com/office/drawing/2014/main" id="{5E7DBC58-99DF-B611-F414-4FBD5A3C529C}"/>
            </a:ext>
          </a:extLst>
        </xdr:cNvPr>
        <xdr:cNvSpPr/>
      </xdr:nvSpPr>
      <xdr:spPr>
        <a:xfrm>
          <a:off x="6191250" y="3721100"/>
          <a:ext cx="2247900" cy="15240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146050</xdr:colOff>
      <xdr:row>20</xdr:row>
      <xdr:rowOff>38100</xdr:rowOff>
    </xdr:from>
    <xdr:to>
      <xdr:col>18</xdr:col>
      <xdr:colOff>520425</xdr:colOff>
      <xdr:row>28</xdr:row>
      <xdr:rowOff>88900</xdr:rowOff>
    </xdr:to>
    <xdr:sp macro="" textlink="">
      <xdr:nvSpPr>
        <xdr:cNvPr id="15" name="Rectangle: Rounded Corners 14">
          <a:extLst>
            <a:ext uri="{FF2B5EF4-FFF2-40B4-BE49-F238E27FC236}">
              <a16:creationId xmlns:a16="http://schemas.microsoft.com/office/drawing/2014/main" id="{5BB6C02A-2230-F580-37F9-36B9DEB6F6A5}"/>
            </a:ext>
          </a:extLst>
        </xdr:cNvPr>
        <xdr:cNvSpPr/>
      </xdr:nvSpPr>
      <xdr:spPr>
        <a:xfrm>
          <a:off x="8680450" y="3721100"/>
          <a:ext cx="2812775" cy="15240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0</xdr:row>
      <xdr:rowOff>114300</xdr:rowOff>
    </xdr:from>
    <xdr:to>
      <xdr:col>2</xdr:col>
      <xdr:colOff>349250</xdr:colOff>
      <xdr:row>28</xdr:row>
      <xdr:rowOff>88900</xdr:rowOff>
    </xdr:to>
    <xdr:sp macro="" textlink="">
      <xdr:nvSpPr>
        <xdr:cNvPr id="16" name="Rectangle: Rounded Corners 15">
          <a:extLst>
            <a:ext uri="{FF2B5EF4-FFF2-40B4-BE49-F238E27FC236}">
              <a16:creationId xmlns:a16="http://schemas.microsoft.com/office/drawing/2014/main" id="{E4C7A595-3021-F9FD-D392-82E2CE2B08B7}"/>
            </a:ext>
          </a:extLst>
        </xdr:cNvPr>
        <xdr:cNvSpPr/>
      </xdr:nvSpPr>
      <xdr:spPr>
        <a:xfrm>
          <a:off x="304800" y="114300"/>
          <a:ext cx="1263650" cy="5130800"/>
        </a:xfrm>
        <a:prstGeom prst="roundRect">
          <a:avLst>
            <a:gd name="adj" fmla="val 8757"/>
          </a:avLst>
        </a:prstGeom>
        <a:solidFill>
          <a:srgbClr val="374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514350</xdr:colOff>
      <xdr:row>0</xdr:row>
      <xdr:rowOff>69850</xdr:rowOff>
    </xdr:from>
    <xdr:to>
      <xdr:col>9</xdr:col>
      <xdr:colOff>177800</xdr:colOff>
      <xdr:row>2</xdr:row>
      <xdr:rowOff>101600</xdr:rowOff>
    </xdr:to>
    <xdr:sp macro="" textlink="">
      <xdr:nvSpPr>
        <xdr:cNvPr id="18" name="TextBox 17">
          <a:extLst>
            <a:ext uri="{FF2B5EF4-FFF2-40B4-BE49-F238E27FC236}">
              <a16:creationId xmlns:a16="http://schemas.microsoft.com/office/drawing/2014/main" id="{9F8056B4-0BA6-E385-D5B8-82E9E52765DA}"/>
            </a:ext>
          </a:extLst>
        </xdr:cNvPr>
        <xdr:cNvSpPr txBox="1"/>
      </xdr:nvSpPr>
      <xdr:spPr>
        <a:xfrm>
          <a:off x="2343150" y="69850"/>
          <a:ext cx="33210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97316"/>
              </a:solidFill>
            </a:rPr>
            <a:t>ApexLink</a:t>
          </a:r>
          <a:r>
            <a:rPr lang="en-US" sz="1200" b="1"/>
            <a:t> </a:t>
          </a:r>
          <a:r>
            <a:rPr lang="en-US" sz="1200" b="0">
              <a:solidFill>
                <a:schemeClr val="bg1"/>
              </a:solidFill>
            </a:rPr>
            <a:t>Supply Chain </a:t>
          </a:r>
          <a:r>
            <a:rPr lang="en-US" sz="1000" b="0" i="1">
              <a:solidFill>
                <a:schemeClr val="bg1"/>
              </a:solidFill>
            </a:rPr>
            <a:t>Performance Dashboard</a:t>
          </a:r>
        </a:p>
      </xdr:txBody>
    </xdr:sp>
    <xdr:clientData/>
  </xdr:twoCellAnchor>
  <xdr:twoCellAnchor>
    <xdr:from>
      <xdr:col>3</xdr:col>
      <xdr:colOff>203200</xdr:colOff>
      <xdr:row>2</xdr:row>
      <xdr:rowOff>152400</xdr:rowOff>
    </xdr:from>
    <xdr:to>
      <xdr:col>8</xdr:col>
      <xdr:colOff>38100</xdr:colOff>
      <xdr:row>4</xdr:row>
      <xdr:rowOff>127000</xdr:rowOff>
    </xdr:to>
    <xdr:sp macro="" textlink="">
      <xdr:nvSpPr>
        <xdr:cNvPr id="19" name="TextBox 18">
          <a:extLst>
            <a:ext uri="{FF2B5EF4-FFF2-40B4-BE49-F238E27FC236}">
              <a16:creationId xmlns:a16="http://schemas.microsoft.com/office/drawing/2014/main" id="{7993AA7D-807A-5C62-789D-5FA3DF51193C}"/>
            </a:ext>
          </a:extLst>
        </xdr:cNvPr>
        <xdr:cNvSpPr txBox="1"/>
      </xdr:nvSpPr>
      <xdr:spPr>
        <a:xfrm>
          <a:off x="2032000" y="520700"/>
          <a:ext cx="2882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1">
              <a:solidFill>
                <a:schemeClr val="bg1"/>
              </a:solidFill>
            </a:rPr>
            <a:t>Operational KPIs </a:t>
          </a:r>
          <a:r>
            <a:rPr lang="en-US" sz="800" b="0" i="1">
              <a:solidFill>
                <a:srgbClr val="F97316"/>
              </a:solidFill>
            </a:rPr>
            <a:t>|</a:t>
          </a:r>
          <a:r>
            <a:rPr lang="en-US" sz="800" b="0" i="1">
              <a:solidFill>
                <a:schemeClr val="bg1"/>
              </a:solidFill>
            </a:rPr>
            <a:t> Order Fulfillment </a:t>
          </a:r>
          <a:r>
            <a:rPr lang="en-US" sz="800" b="0" i="1">
              <a:solidFill>
                <a:srgbClr val="F97316"/>
              </a:solidFill>
            </a:rPr>
            <a:t>|</a:t>
          </a:r>
          <a:r>
            <a:rPr lang="en-US" sz="800" b="0" i="1">
              <a:solidFill>
                <a:schemeClr val="bg1"/>
              </a:solidFill>
            </a:rPr>
            <a:t> Warehouse Performance</a:t>
          </a:r>
        </a:p>
        <a:p>
          <a:r>
            <a:rPr lang="en-US" sz="800" b="0" i="1">
              <a:solidFill>
                <a:schemeClr val="bg1"/>
              </a:solidFill>
            </a:rPr>
            <a:t> </a:t>
          </a:r>
          <a:r>
            <a:rPr lang="en-US" sz="800" b="0" i="1">
              <a:solidFill>
                <a:srgbClr val="F97316"/>
              </a:solidFill>
            </a:rPr>
            <a:t>|</a:t>
          </a:r>
          <a:r>
            <a:rPr lang="en-US" sz="800" b="0" i="1">
              <a:solidFill>
                <a:schemeClr val="bg1"/>
              </a:solidFill>
            </a:rPr>
            <a:t> Delivery Analysis </a:t>
          </a:r>
          <a:r>
            <a:rPr lang="en-US" sz="800" b="0" i="1">
              <a:solidFill>
                <a:srgbClr val="F97316"/>
              </a:solidFill>
            </a:rPr>
            <a:t>|</a:t>
          </a:r>
          <a:r>
            <a:rPr lang="en-US" sz="800" b="0" i="1">
              <a:solidFill>
                <a:schemeClr val="bg1"/>
              </a:solidFill>
            </a:rPr>
            <a:t> Supplier Insights</a:t>
          </a:r>
        </a:p>
      </xdr:txBody>
    </xdr:sp>
    <xdr:clientData/>
  </xdr:twoCellAnchor>
  <xdr:twoCellAnchor>
    <xdr:from>
      <xdr:col>3</xdr:col>
      <xdr:colOff>177800</xdr:colOff>
      <xdr:row>9</xdr:row>
      <xdr:rowOff>63500</xdr:rowOff>
    </xdr:from>
    <xdr:to>
      <xdr:col>4</xdr:col>
      <xdr:colOff>273050</xdr:colOff>
      <xdr:row>10</xdr:row>
      <xdr:rowOff>88900</xdr:rowOff>
    </xdr:to>
    <xdr:sp macro="" textlink="">
      <xdr:nvSpPr>
        <xdr:cNvPr id="42" name="TextBox 41">
          <a:extLst>
            <a:ext uri="{FF2B5EF4-FFF2-40B4-BE49-F238E27FC236}">
              <a16:creationId xmlns:a16="http://schemas.microsoft.com/office/drawing/2014/main" id="{3227043F-D8AD-7EBD-4218-4693B5C73581}"/>
            </a:ext>
          </a:extLst>
        </xdr:cNvPr>
        <xdr:cNvSpPr txBox="1"/>
      </xdr:nvSpPr>
      <xdr:spPr>
        <a:xfrm>
          <a:off x="2006600" y="1720850"/>
          <a:ext cx="704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solidFill>
                <a:srgbClr val="1E40AF"/>
              </a:solidFill>
            </a:rPr>
            <a:t>Total</a:t>
          </a:r>
          <a:r>
            <a:rPr lang="en-US" sz="900" baseline="0">
              <a:solidFill>
                <a:srgbClr val="1E40AF"/>
              </a:solidFill>
            </a:rPr>
            <a:t> Sales</a:t>
          </a:r>
          <a:endParaRPr lang="en-US" sz="900">
            <a:solidFill>
              <a:srgbClr val="1E40AF"/>
            </a:solidFill>
          </a:endParaRPr>
        </a:p>
      </xdr:txBody>
    </xdr:sp>
    <xdr:clientData/>
  </xdr:twoCellAnchor>
  <xdr:twoCellAnchor>
    <xdr:from>
      <xdr:col>6</xdr:col>
      <xdr:colOff>527051</xdr:colOff>
      <xdr:row>9</xdr:row>
      <xdr:rowOff>31750</xdr:rowOff>
    </xdr:from>
    <xdr:to>
      <xdr:col>8</xdr:col>
      <xdr:colOff>120650</xdr:colOff>
      <xdr:row>10</xdr:row>
      <xdr:rowOff>88900</xdr:rowOff>
    </xdr:to>
    <xdr:sp macro="" textlink="">
      <xdr:nvSpPr>
        <xdr:cNvPr id="43" name="TextBox 42">
          <a:extLst>
            <a:ext uri="{FF2B5EF4-FFF2-40B4-BE49-F238E27FC236}">
              <a16:creationId xmlns:a16="http://schemas.microsoft.com/office/drawing/2014/main" id="{8CDBAACE-969E-12AF-A702-D28318D8C346}"/>
            </a:ext>
          </a:extLst>
        </xdr:cNvPr>
        <xdr:cNvSpPr txBox="1"/>
      </xdr:nvSpPr>
      <xdr:spPr>
        <a:xfrm>
          <a:off x="4184651" y="1689100"/>
          <a:ext cx="812799"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900">
              <a:solidFill>
                <a:srgbClr val="1E40AF"/>
              </a:solidFill>
              <a:latin typeface="+mn-lt"/>
              <a:ea typeface="+mn-ea"/>
              <a:cs typeface="+mn-cs"/>
            </a:rPr>
            <a:t>Total Orders</a:t>
          </a:r>
        </a:p>
      </xdr:txBody>
    </xdr:sp>
    <xdr:clientData/>
  </xdr:twoCellAnchor>
  <xdr:twoCellAnchor>
    <xdr:from>
      <xdr:col>10</xdr:col>
      <xdr:colOff>241301</xdr:colOff>
      <xdr:row>9</xdr:row>
      <xdr:rowOff>12700</xdr:rowOff>
    </xdr:from>
    <xdr:to>
      <xdr:col>12</xdr:col>
      <xdr:colOff>273051</xdr:colOff>
      <xdr:row>10</xdr:row>
      <xdr:rowOff>88900</xdr:rowOff>
    </xdr:to>
    <xdr:sp macro="" textlink="">
      <xdr:nvSpPr>
        <xdr:cNvPr id="44" name="TextBox 43">
          <a:extLst>
            <a:ext uri="{FF2B5EF4-FFF2-40B4-BE49-F238E27FC236}">
              <a16:creationId xmlns:a16="http://schemas.microsoft.com/office/drawing/2014/main" id="{A4568987-29DD-2ACA-BFC5-1803CAECD228}"/>
            </a:ext>
          </a:extLst>
        </xdr:cNvPr>
        <xdr:cNvSpPr txBox="1"/>
      </xdr:nvSpPr>
      <xdr:spPr>
        <a:xfrm>
          <a:off x="6337301" y="1670050"/>
          <a:ext cx="1250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900">
              <a:solidFill>
                <a:srgbClr val="1E40AF"/>
              </a:solidFill>
              <a:latin typeface="+mn-lt"/>
              <a:ea typeface="+mn-ea"/>
              <a:cs typeface="+mn-cs"/>
            </a:rPr>
            <a:t>Average Delivery Days</a:t>
          </a:r>
        </a:p>
      </xdr:txBody>
    </xdr:sp>
    <xdr:clientData/>
  </xdr:twoCellAnchor>
  <xdr:twoCellAnchor>
    <xdr:from>
      <xdr:col>3</xdr:col>
      <xdr:colOff>128897</xdr:colOff>
      <xdr:row>6</xdr:row>
      <xdr:rowOff>173265</xdr:rowOff>
    </xdr:from>
    <xdr:to>
      <xdr:col>4</xdr:col>
      <xdr:colOff>465447</xdr:colOff>
      <xdr:row>8</xdr:row>
      <xdr:rowOff>154214</xdr:rowOff>
    </xdr:to>
    <xdr:sp macro="" textlink="Statistics!B20">
      <xdr:nvSpPr>
        <xdr:cNvPr id="45" name="TextBox 44">
          <a:extLst>
            <a:ext uri="{FF2B5EF4-FFF2-40B4-BE49-F238E27FC236}">
              <a16:creationId xmlns:a16="http://schemas.microsoft.com/office/drawing/2014/main" id="{38A0D0E0-08C6-2079-9764-D2CF27F066D6}"/>
            </a:ext>
          </a:extLst>
        </xdr:cNvPr>
        <xdr:cNvSpPr txBox="1"/>
      </xdr:nvSpPr>
      <xdr:spPr>
        <a:xfrm>
          <a:off x="1959676" y="1261836"/>
          <a:ext cx="946810" cy="34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A9C19C1-96F0-41EC-904F-D8778971CEC2}" type="TxLink">
            <a:rPr lang="en-US" sz="1600" b="1" i="0" u="none" strike="noStrike">
              <a:solidFill>
                <a:srgbClr val="F97316"/>
              </a:solidFill>
              <a:latin typeface="Calibri"/>
              <a:ea typeface="Calibri"/>
              <a:cs typeface="Calibri"/>
            </a:rPr>
            <a:pPr algn="l"/>
            <a:t>₦62.95B</a:t>
          </a:fld>
          <a:endParaRPr lang="en-US" sz="1800" b="1">
            <a:solidFill>
              <a:srgbClr val="F97316"/>
            </a:solidFill>
          </a:endParaRPr>
        </a:p>
      </xdr:txBody>
    </xdr:sp>
    <xdr:clientData/>
  </xdr:twoCellAnchor>
  <xdr:twoCellAnchor>
    <xdr:from>
      <xdr:col>6</xdr:col>
      <xdr:colOff>520700</xdr:colOff>
      <xdr:row>6</xdr:row>
      <xdr:rowOff>173265</xdr:rowOff>
    </xdr:from>
    <xdr:to>
      <xdr:col>8</xdr:col>
      <xdr:colOff>38100</xdr:colOff>
      <xdr:row>8</xdr:row>
      <xdr:rowOff>122464</xdr:rowOff>
    </xdr:to>
    <xdr:sp macro="" textlink="Statistics!B31">
      <xdr:nvSpPr>
        <xdr:cNvPr id="47" name="TextBox 46">
          <a:extLst>
            <a:ext uri="{FF2B5EF4-FFF2-40B4-BE49-F238E27FC236}">
              <a16:creationId xmlns:a16="http://schemas.microsoft.com/office/drawing/2014/main" id="{832EE032-AC27-9033-09C8-BE36E03C6BA2}"/>
            </a:ext>
          </a:extLst>
        </xdr:cNvPr>
        <xdr:cNvSpPr txBox="1"/>
      </xdr:nvSpPr>
      <xdr:spPr>
        <a:xfrm>
          <a:off x="4182258" y="1261836"/>
          <a:ext cx="737920" cy="312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A5F9479-0EE1-43BD-9C99-65B7F5700CF1}" type="TxLink">
            <a:rPr lang="en-US" sz="1600" b="1" i="0" u="none" strike="noStrike">
              <a:solidFill>
                <a:srgbClr val="F97316"/>
              </a:solidFill>
              <a:latin typeface="Calibri"/>
              <a:ea typeface="Calibri"/>
              <a:cs typeface="Calibri"/>
            </a:rPr>
            <a:pPr marL="0" indent="0" algn="l"/>
            <a:t>500</a:t>
          </a:fld>
          <a:endParaRPr lang="en-US" sz="1600" b="1" i="0" u="none" strike="noStrike">
            <a:solidFill>
              <a:srgbClr val="F97316"/>
            </a:solidFill>
            <a:latin typeface="Calibri"/>
            <a:ea typeface="Calibri"/>
            <a:cs typeface="Calibri"/>
          </a:endParaRPr>
        </a:p>
      </xdr:txBody>
    </xdr:sp>
    <xdr:clientData/>
  </xdr:twoCellAnchor>
  <xdr:twoCellAnchor>
    <xdr:from>
      <xdr:col>10</xdr:col>
      <xdr:colOff>247650</xdr:colOff>
      <xdr:row>6</xdr:row>
      <xdr:rowOff>173265</xdr:rowOff>
    </xdr:from>
    <xdr:to>
      <xdr:col>12</xdr:col>
      <xdr:colOff>0</xdr:colOff>
      <xdr:row>8</xdr:row>
      <xdr:rowOff>122464</xdr:rowOff>
    </xdr:to>
    <xdr:sp macro="" textlink="Statistics!B42">
      <xdr:nvSpPr>
        <xdr:cNvPr id="48" name="TextBox 47">
          <a:extLst>
            <a:ext uri="{FF2B5EF4-FFF2-40B4-BE49-F238E27FC236}">
              <a16:creationId xmlns:a16="http://schemas.microsoft.com/office/drawing/2014/main" id="{557E1494-3C23-1FE9-D0C8-FFF8961BC798}"/>
            </a:ext>
          </a:extLst>
        </xdr:cNvPr>
        <xdr:cNvSpPr txBox="1"/>
      </xdr:nvSpPr>
      <xdr:spPr>
        <a:xfrm>
          <a:off x="6350247" y="1261836"/>
          <a:ext cx="972870" cy="312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6D3F96A-8C55-4EC4-95E5-1D6F3C9EA591}" type="TxLink">
            <a:rPr lang="en-US" sz="1600" b="1" i="0" u="none" strike="noStrike">
              <a:solidFill>
                <a:srgbClr val="F97316"/>
              </a:solidFill>
              <a:latin typeface="Calibri"/>
              <a:ea typeface="Calibri"/>
              <a:cs typeface="Calibri"/>
            </a:rPr>
            <a:pPr marL="0" indent="0" algn="l"/>
            <a:t>33 Days</a:t>
          </a:fld>
          <a:endParaRPr lang="en-US" sz="1600" b="1" i="0" u="none" strike="noStrike">
            <a:solidFill>
              <a:srgbClr val="F97316"/>
            </a:solidFill>
            <a:latin typeface="Calibri"/>
            <a:ea typeface="Calibri"/>
            <a:cs typeface="Calibri"/>
          </a:endParaRPr>
        </a:p>
      </xdr:txBody>
    </xdr:sp>
    <xdr:clientData/>
  </xdr:twoCellAnchor>
  <xdr:twoCellAnchor editAs="oneCell">
    <xdr:from>
      <xdr:col>10</xdr:col>
      <xdr:colOff>342901</xdr:colOff>
      <xdr:row>5</xdr:row>
      <xdr:rowOff>38101</xdr:rowOff>
    </xdr:from>
    <xdr:to>
      <xdr:col>11</xdr:col>
      <xdr:colOff>7384</xdr:colOff>
      <xdr:row>6</xdr:row>
      <xdr:rowOff>128034</xdr:rowOff>
    </xdr:to>
    <xdr:pic>
      <xdr:nvPicPr>
        <xdr:cNvPr id="50" name="Picture 49">
          <a:extLst>
            <a:ext uri="{FF2B5EF4-FFF2-40B4-BE49-F238E27FC236}">
              <a16:creationId xmlns:a16="http://schemas.microsoft.com/office/drawing/2014/main" id="{F4D651BB-10A9-E79D-846B-87ED16D995D6}"/>
            </a:ext>
          </a:extLst>
        </xdr:cNvPr>
        <xdr:cNvPicPr>
          <a:picLocks noChangeAspect="1"/>
        </xdr:cNvPicPr>
      </xdr:nvPicPr>
      <xdr:blipFill>
        <a:blip xmlns:r="http://schemas.openxmlformats.org/officeDocument/2006/relationships" r:embed="rId1"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6438901" y="958851"/>
          <a:ext cx="274083" cy="274083"/>
        </a:xfrm>
        <a:prstGeom prst="rect">
          <a:avLst/>
        </a:prstGeom>
      </xdr:spPr>
    </xdr:pic>
    <xdr:clientData/>
  </xdr:twoCellAnchor>
  <xdr:twoCellAnchor editAs="oneCell">
    <xdr:from>
      <xdr:col>7</xdr:col>
      <xdr:colOff>38100</xdr:colOff>
      <xdr:row>5</xdr:row>
      <xdr:rowOff>29350</xdr:rowOff>
    </xdr:from>
    <xdr:to>
      <xdr:col>7</xdr:col>
      <xdr:colOff>307200</xdr:colOff>
      <xdr:row>6</xdr:row>
      <xdr:rowOff>114300</xdr:rowOff>
    </xdr:to>
    <xdr:pic>
      <xdr:nvPicPr>
        <xdr:cNvPr id="52" name="Picture 51">
          <a:extLst>
            <a:ext uri="{FF2B5EF4-FFF2-40B4-BE49-F238E27FC236}">
              <a16:creationId xmlns:a16="http://schemas.microsoft.com/office/drawing/2014/main" id="{E804A2B9-9DB6-5E96-28AC-0AE81852960C}"/>
            </a:ext>
          </a:extLst>
        </xdr:cNvPr>
        <xdr:cNvPicPr>
          <a:picLocks noChangeAspect="1"/>
        </xdr:cNvPicPr>
      </xdr:nvPicPr>
      <xdr:blipFill>
        <a:blip xmlns:r="http://schemas.openxmlformats.org/officeDocument/2006/relationships" r:embed="rId2"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4305300" y="950100"/>
          <a:ext cx="269100" cy="269100"/>
        </a:xfrm>
        <a:prstGeom prst="rect">
          <a:avLst/>
        </a:prstGeom>
      </xdr:spPr>
    </xdr:pic>
    <xdr:clientData/>
  </xdr:twoCellAnchor>
  <xdr:twoCellAnchor editAs="oneCell">
    <xdr:from>
      <xdr:col>3</xdr:col>
      <xdr:colOff>261901</xdr:colOff>
      <xdr:row>5</xdr:row>
      <xdr:rowOff>38101</xdr:rowOff>
    </xdr:from>
    <xdr:to>
      <xdr:col>3</xdr:col>
      <xdr:colOff>533401</xdr:colOff>
      <xdr:row>6</xdr:row>
      <xdr:rowOff>125451</xdr:rowOff>
    </xdr:to>
    <xdr:pic>
      <xdr:nvPicPr>
        <xdr:cNvPr id="54" name="Picture 53">
          <a:extLst>
            <a:ext uri="{FF2B5EF4-FFF2-40B4-BE49-F238E27FC236}">
              <a16:creationId xmlns:a16="http://schemas.microsoft.com/office/drawing/2014/main" id="{EDFC7F68-BB3D-F3F6-3847-5621121A8E35}"/>
            </a:ext>
          </a:extLst>
        </xdr:cNvPr>
        <xdr:cNvPicPr>
          <a:picLocks noChangeAspect="1"/>
        </xdr:cNvPicPr>
      </xdr:nvPicPr>
      <xdr:blipFill>
        <a:blip xmlns:r="http://schemas.openxmlformats.org/officeDocument/2006/relationships" r:embed="rId3"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2090701" y="958851"/>
          <a:ext cx="271500" cy="271500"/>
        </a:xfrm>
        <a:prstGeom prst="rect">
          <a:avLst/>
        </a:prstGeom>
      </xdr:spPr>
    </xdr:pic>
    <xdr:clientData/>
  </xdr:twoCellAnchor>
  <xdr:twoCellAnchor>
    <xdr:from>
      <xdr:col>4</xdr:col>
      <xdr:colOff>12700</xdr:colOff>
      <xdr:row>6</xdr:row>
      <xdr:rowOff>19050</xdr:rowOff>
    </xdr:from>
    <xdr:to>
      <xdr:col>6</xdr:col>
      <xdr:colOff>234950</xdr:colOff>
      <xdr:row>7</xdr:row>
      <xdr:rowOff>57150</xdr:rowOff>
    </xdr:to>
    <xdr:sp macro="" textlink="Statistics!AT45">
      <xdr:nvSpPr>
        <xdr:cNvPr id="6" name="TextBox 5">
          <a:extLst>
            <a:ext uri="{FF2B5EF4-FFF2-40B4-BE49-F238E27FC236}">
              <a16:creationId xmlns:a16="http://schemas.microsoft.com/office/drawing/2014/main" id="{88111038-E4B7-FD95-919F-296CBF03F5D6}"/>
            </a:ext>
          </a:extLst>
        </xdr:cNvPr>
        <xdr:cNvSpPr txBox="1"/>
      </xdr:nvSpPr>
      <xdr:spPr>
        <a:xfrm>
          <a:off x="2451100" y="1123950"/>
          <a:ext cx="1441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1363EE6-0F13-4E4E-ACBE-FD7DE335968D}" type="TxLink">
            <a:rPr lang="en-US" sz="700" b="0" i="0" u="none" strike="noStrike">
              <a:solidFill>
                <a:srgbClr val="0057D9"/>
              </a:solidFill>
              <a:latin typeface="Calibri"/>
              <a:ea typeface="Calibri"/>
              <a:cs typeface="Calibri"/>
            </a:rPr>
            <a:pPr algn="l"/>
            <a:t>vs Previous Month  (₦6.91B)</a:t>
          </a:fld>
          <a:endParaRPr lang="en-US" sz="700" b="0">
            <a:solidFill>
              <a:srgbClr val="0057D9"/>
            </a:solidFill>
          </a:endParaRPr>
        </a:p>
      </xdr:txBody>
    </xdr:sp>
    <xdr:clientData/>
  </xdr:twoCellAnchor>
  <xdr:twoCellAnchor>
    <xdr:from>
      <xdr:col>7</xdr:col>
      <xdr:colOff>546100</xdr:colOff>
      <xdr:row>6</xdr:row>
      <xdr:rowOff>19050</xdr:rowOff>
    </xdr:from>
    <xdr:to>
      <xdr:col>9</xdr:col>
      <xdr:colOff>539750</xdr:colOff>
      <xdr:row>7</xdr:row>
      <xdr:rowOff>31750</xdr:rowOff>
    </xdr:to>
    <xdr:sp macro="" textlink="Statistics!AV45">
      <xdr:nvSpPr>
        <xdr:cNvPr id="13" name="TextBox 12">
          <a:extLst>
            <a:ext uri="{FF2B5EF4-FFF2-40B4-BE49-F238E27FC236}">
              <a16:creationId xmlns:a16="http://schemas.microsoft.com/office/drawing/2014/main" id="{90A0C953-6900-EF19-4A28-6FA649C1DD5F}"/>
            </a:ext>
          </a:extLst>
        </xdr:cNvPr>
        <xdr:cNvSpPr txBox="1"/>
      </xdr:nvSpPr>
      <xdr:spPr>
        <a:xfrm>
          <a:off x="4813300" y="1123950"/>
          <a:ext cx="12128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DED887A-B77B-4227-9A3C-99B3F0AB5370}" type="TxLink">
            <a:rPr lang="en-US" sz="700" b="0" i="0" u="none" strike="noStrike">
              <a:solidFill>
                <a:srgbClr val="0057D9"/>
              </a:solidFill>
              <a:latin typeface="Calibri"/>
              <a:ea typeface="Calibri"/>
              <a:cs typeface="Calibri"/>
            </a:rPr>
            <a:pPr marL="0" indent="0" algn="l"/>
            <a:t>vs Previous Month  (50)</a:t>
          </a:fld>
          <a:endParaRPr lang="en-US" sz="700" b="0" i="0" u="none" strike="noStrike">
            <a:solidFill>
              <a:srgbClr val="0057D9"/>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3</xdr:col>
          <xdr:colOff>247650</xdr:colOff>
          <xdr:row>12</xdr:row>
          <xdr:rowOff>76200</xdr:rowOff>
        </xdr:from>
        <xdr:to>
          <xdr:col>4</xdr:col>
          <xdr:colOff>196850</xdr:colOff>
          <xdr:row>13</xdr:row>
          <xdr:rowOff>127000</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Sales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279400</xdr:colOff>
          <xdr:row>12</xdr:row>
          <xdr:rowOff>88900</xdr:rowOff>
        </xdr:from>
        <xdr:to>
          <xdr:col>9</xdr:col>
          <xdr:colOff>469900</xdr:colOff>
          <xdr:row>13</xdr:row>
          <xdr:rowOff>171450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Orders </a:t>
              </a:r>
            </a:p>
          </xdr:txBody>
        </xdr:sp>
        <xdr:clientData/>
      </xdr:twoCellAnchor>
    </mc:Choice>
    <mc:Fallback/>
  </mc:AlternateContent>
  <xdr:twoCellAnchor>
    <xdr:from>
      <xdr:col>2</xdr:col>
      <xdr:colOff>469900</xdr:colOff>
      <xdr:row>14</xdr:row>
      <xdr:rowOff>0</xdr:rowOff>
    </xdr:from>
    <xdr:to>
      <xdr:col>9</xdr:col>
      <xdr:colOff>590550</xdr:colOff>
      <xdr:row>19</xdr:row>
      <xdr:rowOff>57150</xdr:rowOff>
    </xdr:to>
    <xdr:graphicFrame macro="">
      <xdr:nvGraphicFramePr>
        <xdr:cNvPr id="21" name="Chart 20">
          <a:extLst>
            <a:ext uri="{FF2B5EF4-FFF2-40B4-BE49-F238E27FC236}">
              <a16:creationId xmlns:a16="http://schemas.microsoft.com/office/drawing/2014/main" id="{6189A2A7-3B2B-43CE-BD57-481F9FA4D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469900</xdr:colOff>
      <xdr:row>11</xdr:row>
      <xdr:rowOff>88900</xdr:rowOff>
    </xdr:from>
    <xdr:to>
      <xdr:col>6</xdr:col>
      <xdr:colOff>12700</xdr:colOff>
      <xdr:row>12</xdr:row>
      <xdr:rowOff>127000</xdr:rowOff>
    </xdr:to>
    <xdr:sp macro="" textlink="Statistics!CL32">
      <xdr:nvSpPr>
        <xdr:cNvPr id="22" name="TextBox 21">
          <a:extLst>
            <a:ext uri="{FF2B5EF4-FFF2-40B4-BE49-F238E27FC236}">
              <a16:creationId xmlns:a16="http://schemas.microsoft.com/office/drawing/2014/main" id="{C07994F5-CD16-0D6C-A632-F5C1E8F0AD91}"/>
            </a:ext>
          </a:extLst>
        </xdr:cNvPr>
        <xdr:cNvSpPr txBox="1"/>
      </xdr:nvSpPr>
      <xdr:spPr>
        <a:xfrm>
          <a:off x="1689100" y="2114550"/>
          <a:ext cx="19812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77362DF-4FB2-4270-A090-664426139B75}" type="TxLink">
            <a:rPr lang="en-US" sz="900" b="0" i="1" u="none" strike="noStrike">
              <a:solidFill>
                <a:srgbClr val="0057D9"/>
              </a:solidFill>
              <a:latin typeface="+mn-lt"/>
              <a:ea typeface="Calibri"/>
              <a:cs typeface="Calibri"/>
            </a:rPr>
            <a:pPr algn="l"/>
            <a:t>Monthly Trend by Orders</a:t>
          </a:fld>
          <a:endParaRPr lang="en-US" sz="600" b="0" i="1">
            <a:solidFill>
              <a:srgbClr val="0057D9"/>
            </a:solidFill>
            <a:latin typeface="+mn-lt"/>
          </a:endParaRPr>
        </a:p>
      </xdr:txBody>
    </xdr:sp>
    <xdr:clientData/>
  </xdr:twoCellAnchor>
  <xdr:twoCellAnchor>
    <xdr:from>
      <xdr:col>14</xdr:col>
      <xdr:colOff>158750</xdr:colOff>
      <xdr:row>4</xdr:row>
      <xdr:rowOff>95250</xdr:rowOff>
    </xdr:from>
    <xdr:to>
      <xdr:col>18</xdr:col>
      <xdr:colOff>514350</xdr:colOff>
      <xdr:row>19</xdr:row>
      <xdr:rowOff>44450</xdr:rowOff>
    </xdr:to>
    <xdr:graphicFrame macro="">
      <xdr:nvGraphicFramePr>
        <xdr:cNvPr id="23" name="Chart 22">
          <a:extLst>
            <a:ext uri="{FF2B5EF4-FFF2-40B4-BE49-F238E27FC236}">
              <a16:creationId xmlns:a16="http://schemas.microsoft.com/office/drawing/2014/main" id="{1E18A57E-9F13-481B-A1E8-65C452290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171450</xdr:colOff>
      <xdr:row>0</xdr:row>
      <xdr:rowOff>107950</xdr:rowOff>
    </xdr:from>
    <xdr:to>
      <xdr:col>18</xdr:col>
      <xdr:colOff>584200</xdr:colOff>
      <xdr:row>4</xdr:row>
      <xdr:rowOff>57150</xdr:rowOff>
    </xdr:to>
    <xdr:sp macro="" textlink="Statistics!CS49">
      <xdr:nvSpPr>
        <xdr:cNvPr id="26" name="TextBox 25">
          <a:extLst>
            <a:ext uri="{FF2B5EF4-FFF2-40B4-BE49-F238E27FC236}">
              <a16:creationId xmlns:a16="http://schemas.microsoft.com/office/drawing/2014/main" id="{2BD996B4-F2B4-90A1-E73B-D44D73B57A08}"/>
            </a:ext>
          </a:extLst>
        </xdr:cNvPr>
        <xdr:cNvSpPr txBox="1"/>
      </xdr:nvSpPr>
      <xdr:spPr>
        <a:xfrm>
          <a:off x="8705850" y="107950"/>
          <a:ext cx="285115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439EC3A-B7AE-4130-89C4-01E4DFAAB47C}" type="TxLink">
            <a:rPr lang="en-US" sz="900" b="0" i="1" u="none" strike="noStrike">
              <a:solidFill>
                <a:srgbClr val="0057D9"/>
              </a:solidFill>
              <a:latin typeface="Calibri"/>
              <a:ea typeface="Calibri"/>
              <a:cs typeface="Calibri"/>
            </a:rPr>
            <a:pPr algn="l"/>
            <a:t>Laptop contributed 37.1% of total products sales, while all other products collectively accounted for 62.9%, indicating a strong reliance on this product for revenue concentration</a:t>
          </a:fld>
          <a:endParaRPr lang="en-US" sz="600" i="1">
            <a:solidFill>
              <a:srgbClr val="0057D9"/>
            </a:solidFill>
          </a:endParaRPr>
        </a:p>
      </xdr:txBody>
    </xdr:sp>
    <xdr:clientData/>
  </xdr:twoCellAnchor>
  <xdr:twoCellAnchor>
    <xdr:from>
      <xdr:col>2</xdr:col>
      <xdr:colOff>476250</xdr:colOff>
      <xdr:row>21</xdr:row>
      <xdr:rowOff>95250</xdr:rowOff>
    </xdr:from>
    <xdr:to>
      <xdr:col>9</xdr:col>
      <xdr:colOff>558800</xdr:colOff>
      <xdr:row>28</xdr:row>
      <xdr:rowOff>38100</xdr:rowOff>
    </xdr:to>
    <xdr:graphicFrame macro="">
      <xdr:nvGraphicFramePr>
        <xdr:cNvPr id="28" name="Chart 27">
          <a:extLst>
            <a:ext uri="{FF2B5EF4-FFF2-40B4-BE49-F238E27FC236}">
              <a16:creationId xmlns:a16="http://schemas.microsoft.com/office/drawing/2014/main" id="{33C35337-6475-42B6-9572-69B6EFB96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476250</xdr:colOff>
      <xdr:row>20</xdr:row>
      <xdr:rowOff>6350</xdr:rowOff>
    </xdr:from>
    <xdr:to>
      <xdr:col>6</xdr:col>
      <xdr:colOff>69850</xdr:colOff>
      <xdr:row>21</xdr:row>
      <xdr:rowOff>76200</xdr:rowOff>
    </xdr:to>
    <xdr:sp macro="" textlink="">
      <xdr:nvSpPr>
        <xdr:cNvPr id="32" name="TextBox 31">
          <a:extLst>
            <a:ext uri="{FF2B5EF4-FFF2-40B4-BE49-F238E27FC236}">
              <a16:creationId xmlns:a16="http://schemas.microsoft.com/office/drawing/2014/main" id="{DD79B99F-ED4E-3078-41E9-B3C1475796AC}"/>
            </a:ext>
          </a:extLst>
        </xdr:cNvPr>
        <xdr:cNvSpPr txBox="1"/>
      </xdr:nvSpPr>
      <xdr:spPr>
        <a:xfrm>
          <a:off x="1695450" y="3689350"/>
          <a:ext cx="2032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i="1">
              <a:solidFill>
                <a:srgbClr val="1E40AF"/>
              </a:solidFill>
            </a:rPr>
            <a:t>Total Sales by Warehouse</a:t>
          </a:r>
        </a:p>
      </xdr:txBody>
    </xdr:sp>
    <xdr:clientData/>
  </xdr:twoCellAnchor>
  <xdr:twoCellAnchor>
    <xdr:from>
      <xdr:col>14</xdr:col>
      <xdr:colOff>146050</xdr:colOff>
      <xdr:row>21</xdr:row>
      <xdr:rowOff>152400</xdr:rowOff>
    </xdr:from>
    <xdr:to>
      <xdr:col>18</xdr:col>
      <xdr:colOff>527050</xdr:colOff>
      <xdr:row>28</xdr:row>
      <xdr:rowOff>44450</xdr:rowOff>
    </xdr:to>
    <xdr:graphicFrame macro="">
      <xdr:nvGraphicFramePr>
        <xdr:cNvPr id="34" name="Chart 33">
          <a:extLst>
            <a:ext uri="{FF2B5EF4-FFF2-40B4-BE49-F238E27FC236}">
              <a16:creationId xmlns:a16="http://schemas.microsoft.com/office/drawing/2014/main" id="{3A9F2413-3F1E-4D43-8FA3-40BE356B4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120650</xdr:colOff>
      <xdr:row>20</xdr:row>
      <xdr:rowOff>82550</xdr:rowOff>
    </xdr:from>
    <xdr:to>
      <xdr:col>13</xdr:col>
      <xdr:colOff>292100</xdr:colOff>
      <xdr:row>21</xdr:row>
      <xdr:rowOff>127000</xdr:rowOff>
    </xdr:to>
    <xdr:sp macro="" textlink="">
      <xdr:nvSpPr>
        <xdr:cNvPr id="46" name="TextBox 45">
          <a:extLst>
            <a:ext uri="{FF2B5EF4-FFF2-40B4-BE49-F238E27FC236}">
              <a16:creationId xmlns:a16="http://schemas.microsoft.com/office/drawing/2014/main" id="{FC5FE483-F6A0-E82B-B518-6B7DAC99CB7F}"/>
            </a:ext>
          </a:extLst>
        </xdr:cNvPr>
        <xdr:cNvSpPr txBox="1"/>
      </xdr:nvSpPr>
      <xdr:spPr>
        <a:xfrm>
          <a:off x="6216650" y="3765550"/>
          <a:ext cx="2000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i="1" baseline="0">
              <a:solidFill>
                <a:srgbClr val="1E40AF"/>
              </a:solidFill>
            </a:rPr>
            <a:t>% of Sales by Region</a:t>
          </a:r>
          <a:endParaRPr lang="en-US" sz="900" i="1">
            <a:solidFill>
              <a:srgbClr val="1E40AF"/>
            </a:solidFill>
          </a:endParaRPr>
        </a:p>
      </xdr:txBody>
    </xdr:sp>
    <xdr:clientData/>
  </xdr:twoCellAnchor>
  <xdr:twoCellAnchor>
    <xdr:from>
      <xdr:col>14</xdr:col>
      <xdr:colOff>146050</xdr:colOff>
      <xdr:row>20</xdr:row>
      <xdr:rowOff>38100</xdr:rowOff>
    </xdr:from>
    <xdr:to>
      <xdr:col>17</xdr:col>
      <xdr:colOff>317500</xdr:colOff>
      <xdr:row>21</xdr:row>
      <xdr:rowOff>82550</xdr:rowOff>
    </xdr:to>
    <xdr:sp macro="" textlink="">
      <xdr:nvSpPr>
        <xdr:cNvPr id="49" name="TextBox 48">
          <a:extLst>
            <a:ext uri="{FF2B5EF4-FFF2-40B4-BE49-F238E27FC236}">
              <a16:creationId xmlns:a16="http://schemas.microsoft.com/office/drawing/2014/main" id="{EECCA46C-BA81-EA3B-DF2D-22DE3D2287D0}"/>
            </a:ext>
          </a:extLst>
        </xdr:cNvPr>
        <xdr:cNvSpPr txBox="1"/>
      </xdr:nvSpPr>
      <xdr:spPr>
        <a:xfrm>
          <a:off x="8680450" y="3721100"/>
          <a:ext cx="2000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i="1">
              <a:solidFill>
                <a:srgbClr val="1E40AF"/>
              </a:solidFill>
            </a:rPr>
            <a:t>Average</a:t>
          </a:r>
          <a:r>
            <a:rPr lang="en-US" sz="900" i="1" baseline="0">
              <a:solidFill>
                <a:srgbClr val="1E40AF"/>
              </a:solidFill>
            </a:rPr>
            <a:t> Delivery Days by Warehouse</a:t>
          </a:r>
          <a:endParaRPr lang="en-US" sz="900" i="1">
            <a:solidFill>
              <a:srgbClr val="1E40AF"/>
            </a:solidFill>
          </a:endParaRPr>
        </a:p>
      </xdr:txBody>
    </xdr:sp>
    <xdr:clientData/>
  </xdr:twoCellAnchor>
  <xdr:twoCellAnchor editAs="oneCell">
    <xdr:from>
      <xdr:col>0</xdr:col>
      <xdr:colOff>298450</xdr:colOff>
      <xdr:row>4</xdr:row>
      <xdr:rowOff>139700</xdr:rowOff>
    </xdr:from>
    <xdr:to>
      <xdr:col>2</xdr:col>
      <xdr:colOff>342900</xdr:colOff>
      <xdr:row>11</xdr:row>
      <xdr:rowOff>95250</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F1D2977C-58A7-4E58-805B-1057126BB2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8450" y="876300"/>
              <a:ext cx="126365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279400</xdr:colOff>
      <xdr:row>0</xdr:row>
      <xdr:rowOff>146050</xdr:rowOff>
    </xdr:from>
    <xdr:to>
      <xdr:col>2</xdr:col>
      <xdr:colOff>298450</xdr:colOff>
      <xdr:row>2</xdr:row>
      <xdr:rowOff>114300</xdr:rowOff>
    </xdr:to>
    <xdr:sp macro="" textlink="">
      <xdr:nvSpPr>
        <xdr:cNvPr id="57" name="TextBox 56">
          <a:extLst>
            <a:ext uri="{FF2B5EF4-FFF2-40B4-BE49-F238E27FC236}">
              <a16:creationId xmlns:a16="http://schemas.microsoft.com/office/drawing/2014/main" id="{9FA0DD00-A0CD-9765-E5F4-01E6112F0907}"/>
            </a:ext>
          </a:extLst>
        </xdr:cNvPr>
        <xdr:cNvSpPr txBox="1"/>
      </xdr:nvSpPr>
      <xdr:spPr>
        <a:xfrm>
          <a:off x="279400" y="146050"/>
          <a:ext cx="12382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F97316"/>
              </a:solidFill>
            </a:rPr>
            <a:t>ApexLink</a:t>
          </a:r>
          <a:r>
            <a:rPr lang="en-US" sz="1000"/>
            <a:t> </a:t>
          </a:r>
          <a:r>
            <a:rPr lang="en-US" sz="600">
              <a:solidFill>
                <a:schemeClr val="bg1"/>
              </a:solidFill>
            </a:rPr>
            <a:t>Supply Chain Ltd </a:t>
          </a:r>
          <a:endParaRPr lang="en-US" sz="500" b="0" i="1">
            <a:solidFill>
              <a:schemeClr val="bg1"/>
            </a:solidFill>
          </a:endParaRPr>
        </a:p>
      </xdr:txBody>
    </xdr:sp>
    <xdr:clientData/>
  </xdr:twoCellAnchor>
  <xdr:twoCellAnchor>
    <xdr:from>
      <xdr:col>0</xdr:col>
      <xdr:colOff>285750</xdr:colOff>
      <xdr:row>21</xdr:row>
      <xdr:rowOff>101600</xdr:rowOff>
    </xdr:from>
    <xdr:to>
      <xdr:col>2</xdr:col>
      <xdr:colOff>304800</xdr:colOff>
      <xdr:row>23</xdr:row>
      <xdr:rowOff>139700</xdr:rowOff>
    </xdr:to>
    <xdr:sp macro="" textlink="">
      <xdr:nvSpPr>
        <xdr:cNvPr id="58" name="TextBox 57">
          <a:extLst>
            <a:ext uri="{FF2B5EF4-FFF2-40B4-BE49-F238E27FC236}">
              <a16:creationId xmlns:a16="http://schemas.microsoft.com/office/drawing/2014/main" id="{205673CE-F9EA-520B-81AD-FB43A74DC267}"/>
            </a:ext>
          </a:extLst>
        </xdr:cNvPr>
        <xdr:cNvSpPr txBox="1"/>
      </xdr:nvSpPr>
      <xdr:spPr>
        <a:xfrm>
          <a:off x="285750" y="3968750"/>
          <a:ext cx="12382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1">
              <a:solidFill>
                <a:srgbClr val="F97316"/>
              </a:solidFill>
            </a:rPr>
            <a:t>Our</a:t>
          </a:r>
          <a:r>
            <a:rPr lang="en-US" sz="800" b="1" i="1" baseline="0">
              <a:solidFill>
                <a:srgbClr val="F97316"/>
              </a:solidFill>
            </a:rPr>
            <a:t> Motto: </a:t>
          </a:r>
        </a:p>
        <a:p>
          <a:r>
            <a:rPr lang="en-US" sz="600">
              <a:solidFill>
                <a:schemeClr val="bg1"/>
              </a:solidFill>
            </a:rPr>
            <a:t>Delivering Excellence, Connecting Markets.</a:t>
          </a:r>
          <a:endParaRPr lang="en-US" sz="500" b="0" i="1">
            <a:solidFill>
              <a:schemeClr val="bg1"/>
            </a:solidFill>
          </a:endParaRPr>
        </a:p>
      </xdr:txBody>
    </xdr:sp>
    <xdr:clientData/>
  </xdr:twoCellAnchor>
  <xdr:twoCellAnchor>
    <xdr:from>
      <xdr:col>0</xdr:col>
      <xdr:colOff>266700</xdr:colOff>
      <xdr:row>24</xdr:row>
      <xdr:rowOff>0</xdr:rowOff>
    </xdr:from>
    <xdr:to>
      <xdr:col>2</xdr:col>
      <xdr:colOff>323850</xdr:colOff>
      <xdr:row>28</xdr:row>
      <xdr:rowOff>82550</xdr:rowOff>
    </xdr:to>
    <xdr:sp macro="" textlink="">
      <xdr:nvSpPr>
        <xdr:cNvPr id="59" name="TextBox 58">
          <a:extLst>
            <a:ext uri="{FF2B5EF4-FFF2-40B4-BE49-F238E27FC236}">
              <a16:creationId xmlns:a16="http://schemas.microsoft.com/office/drawing/2014/main" id="{E6B28E16-0BE4-3375-6F39-511A11AAF54B}"/>
            </a:ext>
          </a:extLst>
        </xdr:cNvPr>
        <xdr:cNvSpPr txBox="1"/>
      </xdr:nvSpPr>
      <xdr:spPr>
        <a:xfrm>
          <a:off x="266700" y="4419600"/>
          <a:ext cx="127635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1">
              <a:solidFill>
                <a:srgbClr val="F97316"/>
              </a:solidFill>
            </a:rPr>
            <a:t>Our Vision Statement</a:t>
          </a:r>
          <a:r>
            <a:rPr lang="en-US" sz="600" b="1" i="1">
              <a:solidFill>
                <a:srgbClr val="F97316"/>
              </a:solidFill>
            </a:rPr>
            <a:t>:</a:t>
          </a:r>
          <a:r>
            <a:rPr lang="en-US" sz="600" b="1" i="1">
              <a:solidFill>
                <a:schemeClr val="bg1"/>
              </a:solidFill>
            </a:rPr>
            <a:t> </a:t>
          </a:r>
        </a:p>
        <a:p>
          <a:r>
            <a:rPr lang="en-US" sz="600">
              <a:solidFill>
                <a:schemeClr val="bg1"/>
              </a:solidFill>
            </a:rPr>
            <a:t>To become Nigeria's most trusted and innovative supply chain company by delivering efficient, technology-driven logistics solutions that connect businesses and communities nationwide. </a:t>
          </a:r>
          <a:endParaRPr lang="en-US" sz="600" b="0" i="1">
            <a:solidFill>
              <a:schemeClr val="bg1"/>
            </a:solidFill>
          </a:endParaRPr>
        </a:p>
      </xdr:txBody>
    </xdr:sp>
    <xdr:clientData/>
  </xdr:twoCellAnchor>
  <xdr:twoCellAnchor>
    <xdr:from>
      <xdr:col>0</xdr:col>
      <xdr:colOff>355600</xdr:colOff>
      <xdr:row>23</xdr:row>
      <xdr:rowOff>120650</xdr:rowOff>
    </xdr:from>
    <xdr:to>
      <xdr:col>2</xdr:col>
      <xdr:colOff>273050</xdr:colOff>
      <xdr:row>23</xdr:row>
      <xdr:rowOff>120650</xdr:rowOff>
    </xdr:to>
    <xdr:cxnSp macro="">
      <xdr:nvCxnSpPr>
        <xdr:cNvPr id="29" name="Straight Connector 28">
          <a:extLst>
            <a:ext uri="{FF2B5EF4-FFF2-40B4-BE49-F238E27FC236}">
              <a16:creationId xmlns:a16="http://schemas.microsoft.com/office/drawing/2014/main" id="{9907C055-BDC9-8E72-2722-620F5EE9CF9C}"/>
            </a:ext>
          </a:extLst>
        </xdr:cNvPr>
        <xdr:cNvCxnSpPr/>
      </xdr:nvCxnSpPr>
      <xdr:spPr>
        <a:xfrm>
          <a:off x="355600" y="4356100"/>
          <a:ext cx="1136650" cy="0"/>
        </a:xfrm>
        <a:prstGeom prst="line">
          <a:avLst/>
        </a:prstGeom>
        <a:ln w="12700">
          <a:solidFill>
            <a:srgbClr val="0057D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95250</xdr:colOff>
      <xdr:row>15</xdr:row>
      <xdr:rowOff>177800</xdr:rowOff>
    </xdr:from>
    <xdr:to>
      <xdr:col>13</xdr:col>
      <xdr:colOff>508000</xdr:colOff>
      <xdr:row>19</xdr:row>
      <xdr:rowOff>76200</xdr:rowOff>
    </xdr:to>
    <xdr:sp macro="" textlink="">
      <xdr:nvSpPr>
        <xdr:cNvPr id="60" name="Rectangle: Rounded Corners 59">
          <a:extLst>
            <a:ext uri="{FF2B5EF4-FFF2-40B4-BE49-F238E27FC236}">
              <a16:creationId xmlns:a16="http://schemas.microsoft.com/office/drawing/2014/main" id="{81A99A54-FBD2-2506-D1C6-7534730168FB}"/>
            </a:ext>
          </a:extLst>
        </xdr:cNvPr>
        <xdr:cNvSpPr/>
      </xdr:nvSpPr>
      <xdr:spPr>
        <a:xfrm>
          <a:off x="7410450" y="2940050"/>
          <a:ext cx="1022350" cy="6350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298450</xdr:colOff>
      <xdr:row>0</xdr:row>
      <xdr:rowOff>76201</xdr:rowOff>
    </xdr:from>
    <xdr:to>
      <xdr:col>13</xdr:col>
      <xdr:colOff>487680</xdr:colOff>
      <xdr:row>4</xdr:row>
      <xdr:rowOff>25400</xdr:rowOff>
    </xdr:to>
    <mc:AlternateContent xmlns:mc="http://schemas.openxmlformats.org/markup-compatibility/2006" xmlns:a14="http://schemas.microsoft.com/office/drawing/2010/main">
      <mc:Choice Requires="a14">
        <xdr:graphicFrame macro="">
          <xdr:nvGraphicFramePr>
            <xdr:cNvPr id="55" name="Status">
              <a:extLst>
                <a:ext uri="{FF2B5EF4-FFF2-40B4-BE49-F238E27FC236}">
                  <a16:creationId xmlns:a16="http://schemas.microsoft.com/office/drawing/2014/main" id="{ED864819-6AA1-4686-8ACE-BCB459DCA12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784850" y="76201"/>
              <a:ext cx="262763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11</xdr:row>
      <xdr:rowOff>88901</xdr:rowOff>
    </xdr:from>
    <xdr:to>
      <xdr:col>2</xdr:col>
      <xdr:colOff>342900</xdr:colOff>
      <xdr:row>19</xdr:row>
      <xdr:rowOff>50800</xdr:rowOff>
    </xdr:to>
    <mc:AlternateContent xmlns:mc="http://schemas.openxmlformats.org/markup-compatibility/2006" xmlns:a14="http://schemas.microsoft.com/office/drawing/2010/main">
      <mc:Choice Requires="a14">
        <xdr:graphicFrame macro="">
          <xdr:nvGraphicFramePr>
            <xdr:cNvPr id="61" name="Warehouse">
              <a:extLst>
                <a:ext uri="{FF2B5EF4-FFF2-40B4-BE49-F238E27FC236}">
                  <a16:creationId xmlns:a16="http://schemas.microsoft.com/office/drawing/2014/main" id="{6A37CDB3-8950-4791-AEC6-E8A2D9445C9F}"/>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304800" y="2114551"/>
              <a:ext cx="1257300" cy="143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539750</xdr:colOff>
      <xdr:row>5</xdr:row>
      <xdr:rowOff>25400</xdr:rowOff>
    </xdr:from>
    <xdr:to>
      <xdr:col>9</xdr:col>
      <xdr:colOff>425450</xdr:colOff>
      <xdr:row>6</xdr:row>
      <xdr:rowOff>57150</xdr:rowOff>
    </xdr:to>
    <xdr:sp macro="" textlink="Statistics!AV44">
      <xdr:nvSpPr>
        <xdr:cNvPr id="9" name="TextBox 8">
          <a:extLst>
            <a:ext uri="{FF2B5EF4-FFF2-40B4-BE49-F238E27FC236}">
              <a16:creationId xmlns:a16="http://schemas.microsoft.com/office/drawing/2014/main" id="{FA70A72F-4AE7-5140-3BAA-394A8AE37338}"/>
            </a:ext>
          </a:extLst>
        </xdr:cNvPr>
        <xdr:cNvSpPr txBox="1"/>
      </xdr:nvSpPr>
      <xdr:spPr>
        <a:xfrm>
          <a:off x="4806950" y="946150"/>
          <a:ext cx="1104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044605E-C248-4328-BBA1-E0D4B65D7AD3}" type="TxLink">
            <a:rPr lang="en-US" sz="1100" b="1" i="0" u="none" strike="noStrike">
              <a:solidFill>
                <a:srgbClr val="000000"/>
              </a:solidFill>
              <a:latin typeface="Calibri"/>
              <a:ea typeface="Calibri"/>
              <a:cs typeface="Calibri"/>
            </a:rPr>
            <a:pPr algn="l"/>
            <a:t>▲ 20.00%</a:t>
          </a:fld>
          <a:endParaRPr lang="en-US" sz="700" b="1">
            <a:solidFill>
              <a:srgbClr val="1E40AF"/>
            </a:solidFill>
          </a:endParaRPr>
        </a:p>
      </xdr:txBody>
    </xdr:sp>
    <xdr:clientData/>
  </xdr:twoCellAnchor>
  <xdr:twoCellAnchor editAs="oneCell">
    <xdr:from>
      <xdr:col>2</xdr:col>
      <xdr:colOff>584201</xdr:colOff>
      <xdr:row>0</xdr:row>
      <xdr:rowOff>63501</xdr:rowOff>
    </xdr:from>
    <xdr:to>
      <xdr:col>3</xdr:col>
      <xdr:colOff>514350</xdr:colOff>
      <xdr:row>2</xdr:row>
      <xdr:rowOff>114301</xdr:rowOff>
    </xdr:to>
    <xdr:pic>
      <xdr:nvPicPr>
        <xdr:cNvPr id="25" name="Picture 24">
          <a:extLst>
            <a:ext uri="{FF2B5EF4-FFF2-40B4-BE49-F238E27FC236}">
              <a16:creationId xmlns:a16="http://schemas.microsoft.com/office/drawing/2014/main" id="{22E183A4-B985-84A9-6B8D-39D1C599465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03401" y="63501"/>
          <a:ext cx="539749" cy="419100"/>
        </a:xfrm>
        <a:prstGeom prst="rect">
          <a:avLst/>
        </a:prstGeom>
      </xdr:spPr>
    </xdr:pic>
    <xdr:clientData/>
  </xdr:twoCellAnchor>
  <xdr:twoCellAnchor>
    <xdr:from>
      <xdr:col>10</xdr:col>
      <xdr:colOff>95250</xdr:colOff>
      <xdr:row>21</xdr:row>
      <xdr:rowOff>146050</xdr:rowOff>
    </xdr:from>
    <xdr:to>
      <xdr:col>13</xdr:col>
      <xdr:colOff>476250</xdr:colOff>
      <xdr:row>28</xdr:row>
      <xdr:rowOff>57150</xdr:rowOff>
    </xdr:to>
    <xdr:graphicFrame macro="">
      <xdr:nvGraphicFramePr>
        <xdr:cNvPr id="33" name="Chart 32">
          <a:extLst>
            <a:ext uri="{FF2B5EF4-FFF2-40B4-BE49-F238E27FC236}">
              <a16:creationId xmlns:a16="http://schemas.microsoft.com/office/drawing/2014/main" id="{8412FB23-F50A-4424-9A7A-A4F154228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139700</xdr:colOff>
      <xdr:row>15</xdr:row>
      <xdr:rowOff>177800</xdr:rowOff>
    </xdr:from>
    <xdr:to>
      <xdr:col>11</xdr:col>
      <xdr:colOff>552450</xdr:colOff>
      <xdr:row>19</xdr:row>
      <xdr:rowOff>76200</xdr:rowOff>
    </xdr:to>
    <xdr:sp macro="" textlink="">
      <xdr:nvSpPr>
        <xdr:cNvPr id="35" name="Rectangle: Rounded Corners 34">
          <a:extLst>
            <a:ext uri="{FF2B5EF4-FFF2-40B4-BE49-F238E27FC236}">
              <a16:creationId xmlns:a16="http://schemas.microsoft.com/office/drawing/2014/main" id="{F7B9BBD2-D1E0-B122-D093-A346AB892BF1}"/>
            </a:ext>
          </a:extLst>
        </xdr:cNvPr>
        <xdr:cNvSpPr/>
      </xdr:nvSpPr>
      <xdr:spPr>
        <a:xfrm>
          <a:off x="6235700" y="2940050"/>
          <a:ext cx="1022350" cy="6350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95250</xdr:colOff>
      <xdr:row>11</xdr:row>
      <xdr:rowOff>107950</xdr:rowOff>
    </xdr:from>
    <xdr:to>
      <xdr:col>13</xdr:col>
      <xdr:colOff>508000</xdr:colOff>
      <xdr:row>15</xdr:row>
      <xdr:rowOff>6350</xdr:rowOff>
    </xdr:to>
    <xdr:sp macro="" textlink="">
      <xdr:nvSpPr>
        <xdr:cNvPr id="36" name="Rectangle: Rounded Corners 35">
          <a:extLst>
            <a:ext uri="{FF2B5EF4-FFF2-40B4-BE49-F238E27FC236}">
              <a16:creationId xmlns:a16="http://schemas.microsoft.com/office/drawing/2014/main" id="{454CD5FC-68C0-E712-B0F1-69381F15ADDF}"/>
            </a:ext>
          </a:extLst>
        </xdr:cNvPr>
        <xdr:cNvSpPr/>
      </xdr:nvSpPr>
      <xdr:spPr>
        <a:xfrm>
          <a:off x="7410450" y="2133600"/>
          <a:ext cx="1022350" cy="6350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139700</xdr:colOff>
      <xdr:row>11</xdr:row>
      <xdr:rowOff>107950</xdr:rowOff>
    </xdr:from>
    <xdr:to>
      <xdr:col>11</xdr:col>
      <xdr:colOff>552450</xdr:colOff>
      <xdr:row>15</xdr:row>
      <xdr:rowOff>6350</xdr:rowOff>
    </xdr:to>
    <xdr:sp macro="" textlink="">
      <xdr:nvSpPr>
        <xdr:cNvPr id="37" name="Rectangle: Rounded Corners 36">
          <a:extLst>
            <a:ext uri="{FF2B5EF4-FFF2-40B4-BE49-F238E27FC236}">
              <a16:creationId xmlns:a16="http://schemas.microsoft.com/office/drawing/2014/main" id="{BDBE8E4B-1C7D-748A-A1D3-2A30C8370A98}"/>
            </a:ext>
          </a:extLst>
        </xdr:cNvPr>
        <xdr:cNvSpPr/>
      </xdr:nvSpPr>
      <xdr:spPr>
        <a:xfrm>
          <a:off x="6235700" y="2133600"/>
          <a:ext cx="1022350" cy="635000"/>
        </a:xfrm>
        <a:prstGeom prst="roundRect">
          <a:avLst>
            <a:gd name="adj" fmla="val 21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165101</xdr:colOff>
      <xdr:row>11</xdr:row>
      <xdr:rowOff>101600</xdr:rowOff>
    </xdr:from>
    <xdr:to>
      <xdr:col>11</xdr:col>
      <xdr:colOff>488950</xdr:colOff>
      <xdr:row>12</xdr:row>
      <xdr:rowOff>177800</xdr:rowOff>
    </xdr:to>
    <xdr:sp macro="" textlink="">
      <xdr:nvSpPr>
        <xdr:cNvPr id="39" name="TextBox 38">
          <a:extLst>
            <a:ext uri="{FF2B5EF4-FFF2-40B4-BE49-F238E27FC236}">
              <a16:creationId xmlns:a16="http://schemas.microsoft.com/office/drawing/2014/main" id="{66198A55-E095-6391-DFD9-B7D8DC32AE66}"/>
            </a:ext>
          </a:extLst>
        </xdr:cNvPr>
        <xdr:cNvSpPr txBox="1"/>
      </xdr:nvSpPr>
      <xdr:spPr>
        <a:xfrm>
          <a:off x="6261101" y="2127250"/>
          <a:ext cx="933449"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800" b="0">
              <a:solidFill>
                <a:srgbClr val="1E40AF"/>
              </a:solidFill>
              <a:latin typeface="+mn-lt"/>
              <a:ea typeface="+mn-ea"/>
              <a:cs typeface="+mn-cs"/>
            </a:rPr>
            <a:t>Delivered Orders</a:t>
          </a:r>
        </a:p>
      </xdr:txBody>
    </xdr:sp>
    <xdr:clientData/>
  </xdr:twoCellAnchor>
  <xdr:twoCellAnchor>
    <xdr:from>
      <xdr:col>10</xdr:col>
      <xdr:colOff>196851</xdr:colOff>
      <xdr:row>16</xdr:row>
      <xdr:rowOff>19050</xdr:rowOff>
    </xdr:from>
    <xdr:to>
      <xdr:col>11</xdr:col>
      <xdr:colOff>520700</xdr:colOff>
      <xdr:row>17</xdr:row>
      <xdr:rowOff>95250</xdr:rowOff>
    </xdr:to>
    <xdr:sp macro="" textlink="">
      <xdr:nvSpPr>
        <xdr:cNvPr id="40" name="TextBox 39">
          <a:extLst>
            <a:ext uri="{FF2B5EF4-FFF2-40B4-BE49-F238E27FC236}">
              <a16:creationId xmlns:a16="http://schemas.microsoft.com/office/drawing/2014/main" id="{61697C89-74B6-32B7-1BB0-ED1559972129}"/>
            </a:ext>
          </a:extLst>
        </xdr:cNvPr>
        <xdr:cNvSpPr txBox="1"/>
      </xdr:nvSpPr>
      <xdr:spPr>
        <a:xfrm>
          <a:off x="6292851" y="2965450"/>
          <a:ext cx="933449"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800" b="0">
              <a:solidFill>
                <a:srgbClr val="1E40AF"/>
              </a:solidFill>
              <a:latin typeface="+mn-lt"/>
              <a:ea typeface="+mn-ea"/>
              <a:cs typeface="+mn-cs"/>
            </a:rPr>
            <a:t>Returned Orders</a:t>
          </a:r>
        </a:p>
      </xdr:txBody>
    </xdr:sp>
    <xdr:clientData/>
  </xdr:twoCellAnchor>
  <xdr:twoCellAnchor>
    <xdr:from>
      <xdr:col>12</xdr:col>
      <xdr:colOff>165101</xdr:colOff>
      <xdr:row>16</xdr:row>
      <xdr:rowOff>12700</xdr:rowOff>
    </xdr:from>
    <xdr:to>
      <xdr:col>13</xdr:col>
      <xdr:colOff>488950</xdr:colOff>
      <xdr:row>17</xdr:row>
      <xdr:rowOff>88900</xdr:rowOff>
    </xdr:to>
    <xdr:sp macro="" textlink="">
      <xdr:nvSpPr>
        <xdr:cNvPr id="41" name="TextBox 40">
          <a:extLst>
            <a:ext uri="{FF2B5EF4-FFF2-40B4-BE49-F238E27FC236}">
              <a16:creationId xmlns:a16="http://schemas.microsoft.com/office/drawing/2014/main" id="{5569C2FA-5E2E-6DFA-AB71-25652E8178B7}"/>
            </a:ext>
          </a:extLst>
        </xdr:cNvPr>
        <xdr:cNvSpPr txBox="1"/>
      </xdr:nvSpPr>
      <xdr:spPr>
        <a:xfrm>
          <a:off x="7480301" y="2959100"/>
          <a:ext cx="933449"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800" b="0">
              <a:solidFill>
                <a:srgbClr val="1E40AF"/>
              </a:solidFill>
              <a:latin typeface="+mn-lt"/>
              <a:ea typeface="+mn-ea"/>
              <a:cs typeface="+mn-cs"/>
            </a:rPr>
            <a:t>Cancelled Orders</a:t>
          </a:r>
        </a:p>
      </xdr:txBody>
    </xdr:sp>
    <xdr:clientData/>
  </xdr:twoCellAnchor>
  <xdr:twoCellAnchor>
    <xdr:from>
      <xdr:col>12</xdr:col>
      <xdr:colOff>152401</xdr:colOff>
      <xdr:row>11</xdr:row>
      <xdr:rowOff>107950</xdr:rowOff>
    </xdr:from>
    <xdr:to>
      <xdr:col>13</xdr:col>
      <xdr:colOff>476250</xdr:colOff>
      <xdr:row>13</xdr:row>
      <xdr:rowOff>0</xdr:rowOff>
    </xdr:to>
    <xdr:sp macro="" textlink="">
      <xdr:nvSpPr>
        <xdr:cNvPr id="62" name="TextBox 61">
          <a:extLst>
            <a:ext uri="{FF2B5EF4-FFF2-40B4-BE49-F238E27FC236}">
              <a16:creationId xmlns:a16="http://schemas.microsoft.com/office/drawing/2014/main" id="{E5CC372F-7CC5-C3C7-15E0-ABF470BAD850}"/>
            </a:ext>
          </a:extLst>
        </xdr:cNvPr>
        <xdr:cNvSpPr txBox="1"/>
      </xdr:nvSpPr>
      <xdr:spPr>
        <a:xfrm>
          <a:off x="7467601" y="2133600"/>
          <a:ext cx="933449"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800" b="0">
              <a:solidFill>
                <a:srgbClr val="1E40AF"/>
              </a:solidFill>
              <a:latin typeface="+mn-lt"/>
              <a:ea typeface="+mn-ea"/>
              <a:cs typeface="+mn-cs"/>
            </a:rPr>
            <a:t>Pending Orders</a:t>
          </a:r>
        </a:p>
      </xdr:txBody>
    </xdr:sp>
    <xdr:clientData/>
  </xdr:twoCellAnchor>
  <xdr:twoCellAnchor>
    <xdr:from>
      <xdr:col>10</xdr:col>
      <xdr:colOff>165101</xdr:colOff>
      <xdr:row>13</xdr:row>
      <xdr:rowOff>25400</xdr:rowOff>
    </xdr:from>
    <xdr:to>
      <xdr:col>11</xdr:col>
      <xdr:colOff>488950</xdr:colOff>
      <xdr:row>14</xdr:row>
      <xdr:rowOff>146050</xdr:rowOff>
    </xdr:to>
    <xdr:sp macro="" textlink="Statistics!AL24">
      <xdr:nvSpPr>
        <xdr:cNvPr id="63" name="TextBox 62">
          <a:extLst>
            <a:ext uri="{FF2B5EF4-FFF2-40B4-BE49-F238E27FC236}">
              <a16:creationId xmlns:a16="http://schemas.microsoft.com/office/drawing/2014/main" id="{78C1DCA0-1A77-0296-B86A-4E7193D407D6}"/>
            </a:ext>
          </a:extLst>
        </xdr:cNvPr>
        <xdr:cNvSpPr txBox="1"/>
      </xdr:nvSpPr>
      <xdr:spPr>
        <a:xfrm>
          <a:off x="6261101" y="2419350"/>
          <a:ext cx="9334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01AC382-F74B-492F-9720-B6455E81E565}" type="TxLink">
            <a:rPr lang="en-US" sz="1400" b="1" i="0" u="none" strike="noStrike">
              <a:solidFill>
                <a:srgbClr val="F97316"/>
              </a:solidFill>
              <a:latin typeface="Calibri"/>
              <a:ea typeface="Calibri"/>
              <a:cs typeface="Calibri"/>
            </a:rPr>
            <a:pPr marL="0" indent="0" algn="ctr"/>
            <a:t>294</a:t>
          </a:fld>
          <a:endParaRPr lang="en-US" sz="1000" b="1">
            <a:solidFill>
              <a:srgbClr val="F97316"/>
            </a:solidFill>
            <a:latin typeface="+mn-lt"/>
            <a:ea typeface="+mn-ea"/>
            <a:cs typeface="+mn-cs"/>
          </a:endParaRPr>
        </a:p>
      </xdr:txBody>
    </xdr:sp>
    <xdr:clientData/>
  </xdr:twoCellAnchor>
  <xdr:twoCellAnchor>
    <xdr:from>
      <xdr:col>10</xdr:col>
      <xdr:colOff>196851</xdr:colOff>
      <xdr:row>17</xdr:row>
      <xdr:rowOff>127000</xdr:rowOff>
    </xdr:from>
    <xdr:to>
      <xdr:col>11</xdr:col>
      <xdr:colOff>520700</xdr:colOff>
      <xdr:row>19</xdr:row>
      <xdr:rowOff>63500</xdr:rowOff>
    </xdr:to>
    <xdr:sp macro="" textlink="Statistics!AL26">
      <xdr:nvSpPr>
        <xdr:cNvPr id="3072" name="TextBox 3071">
          <a:extLst>
            <a:ext uri="{FF2B5EF4-FFF2-40B4-BE49-F238E27FC236}">
              <a16:creationId xmlns:a16="http://schemas.microsoft.com/office/drawing/2014/main" id="{F08FE80F-6036-2358-7836-D2B3FB265738}"/>
            </a:ext>
          </a:extLst>
        </xdr:cNvPr>
        <xdr:cNvSpPr txBox="1"/>
      </xdr:nvSpPr>
      <xdr:spPr>
        <a:xfrm>
          <a:off x="6292851" y="3257550"/>
          <a:ext cx="9334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5444D6D-9B83-4308-A9B5-EC3AA141DF07}" type="TxLink">
            <a:rPr lang="en-US" sz="1400" b="1" i="0" u="none" strike="noStrike">
              <a:solidFill>
                <a:srgbClr val="F97316"/>
              </a:solidFill>
              <a:latin typeface="Calibri"/>
              <a:ea typeface="Calibri"/>
              <a:cs typeface="Calibri"/>
            </a:rPr>
            <a:pPr marL="0" indent="0" algn="ctr"/>
            <a:t>70</a:t>
          </a:fld>
          <a:endParaRPr lang="en-US" sz="1400" b="1" i="0" u="none" strike="noStrike">
            <a:solidFill>
              <a:srgbClr val="F97316"/>
            </a:solidFill>
            <a:latin typeface="Calibri"/>
            <a:ea typeface="Calibri"/>
            <a:cs typeface="Calibri"/>
          </a:endParaRPr>
        </a:p>
      </xdr:txBody>
    </xdr:sp>
    <xdr:clientData/>
  </xdr:twoCellAnchor>
  <xdr:twoCellAnchor>
    <xdr:from>
      <xdr:col>12</xdr:col>
      <xdr:colOff>165101</xdr:colOff>
      <xdr:row>17</xdr:row>
      <xdr:rowOff>120650</xdr:rowOff>
    </xdr:from>
    <xdr:to>
      <xdr:col>13</xdr:col>
      <xdr:colOff>488950</xdr:colOff>
      <xdr:row>19</xdr:row>
      <xdr:rowOff>57150</xdr:rowOff>
    </xdr:to>
    <xdr:sp macro="" textlink="Statistics!AL25">
      <xdr:nvSpPr>
        <xdr:cNvPr id="3075" name="TextBox 3074">
          <a:extLst>
            <a:ext uri="{FF2B5EF4-FFF2-40B4-BE49-F238E27FC236}">
              <a16:creationId xmlns:a16="http://schemas.microsoft.com/office/drawing/2014/main" id="{B1DCE74E-9483-A5D4-8B33-B401543DB6B4}"/>
            </a:ext>
          </a:extLst>
        </xdr:cNvPr>
        <xdr:cNvSpPr txBox="1"/>
      </xdr:nvSpPr>
      <xdr:spPr>
        <a:xfrm>
          <a:off x="7480301" y="3251200"/>
          <a:ext cx="9334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32F1C6-3D4E-4CE3-AC92-E32B4F554754}" type="TxLink">
            <a:rPr lang="en-US" sz="1400" b="1" i="0" u="none" strike="noStrike">
              <a:solidFill>
                <a:srgbClr val="F97316"/>
              </a:solidFill>
              <a:latin typeface="Calibri"/>
              <a:ea typeface="Calibri"/>
              <a:cs typeface="Calibri"/>
            </a:rPr>
            <a:pPr marL="0" indent="0" algn="ctr"/>
            <a:t>71</a:t>
          </a:fld>
          <a:endParaRPr lang="en-US" sz="1400" b="1" i="0" u="none" strike="noStrike">
            <a:solidFill>
              <a:srgbClr val="F97316"/>
            </a:solidFill>
            <a:latin typeface="Calibri"/>
            <a:ea typeface="Calibri"/>
            <a:cs typeface="Calibri"/>
          </a:endParaRPr>
        </a:p>
      </xdr:txBody>
    </xdr:sp>
    <xdr:clientData/>
  </xdr:twoCellAnchor>
  <xdr:twoCellAnchor>
    <xdr:from>
      <xdr:col>12</xdr:col>
      <xdr:colOff>152401</xdr:colOff>
      <xdr:row>13</xdr:row>
      <xdr:rowOff>31750</xdr:rowOff>
    </xdr:from>
    <xdr:to>
      <xdr:col>13</xdr:col>
      <xdr:colOff>476250</xdr:colOff>
      <xdr:row>14</xdr:row>
      <xdr:rowOff>152400</xdr:rowOff>
    </xdr:to>
    <xdr:sp macro="" textlink="Statistics!AL27">
      <xdr:nvSpPr>
        <xdr:cNvPr id="3076" name="TextBox 3075">
          <a:extLst>
            <a:ext uri="{FF2B5EF4-FFF2-40B4-BE49-F238E27FC236}">
              <a16:creationId xmlns:a16="http://schemas.microsoft.com/office/drawing/2014/main" id="{20EFC041-3938-6173-D304-AD5D456A5C7D}"/>
            </a:ext>
          </a:extLst>
        </xdr:cNvPr>
        <xdr:cNvSpPr txBox="1"/>
      </xdr:nvSpPr>
      <xdr:spPr>
        <a:xfrm>
          <a:off x="7467601" y="2425700"/>
          <a:ext cx="9334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33411BB-58B1-4A80-9AD5-20F6C7A304D4}" type="TxLink">
            <a:rPr lang="en-US" sz="1400" b="1" i="0" u="none" strike="noStrike">
              <a:solidFill>
                <a:srgbClr val="F97316"/>
              </a:solidFill>
              <a:latin typeface="Calibri"/>
              <a:ea typeface="Calibri"/>
              <a:cs typeface="Calibri"/>
            </a:rPr>
            <a:pPr marL="0" indent="0" algn="ctr"/>
            <a:t>65</a:t>
          </a:fld>
          <a:endParaRPr lang="en-US" sz="1400" b="1" i="0" u="none" strike="noStrike">
            <a:solidFill>
              <a:srgbClr val="F97316"/>
            </a:solidFill>
            <a:latin typeface="Calibri"/>
            <a:ea typeface="Calibri"/>
            <a:cs typeface="Calibri"/>
          </a:endParaRPr>
        </a:p>
      </xdr:txBody>
    </xdr:sp>
    <xdr:clientData/>
  </xdr:twoCellAnchor>
  <xdr:twoCellAnchor>
    <xdr:from>
      <xdr:col>4</xdr:col>
      <xdr:colOff>57150</xdr:colOff>
      <xdr:row>5</xdr:row>
      <xdr:rowOff>19050</xdr:rowOff>
    </xdr:from>
    <xdr:to>
      <xdr:col>5</xdr:col>
      <xdr:colOff>552450</xdr:colOff>
      <xdr:row>6</xdr:row>
      <xdr:rowOff>50800</xdr:rowOff>
    </xdr:to>
    <xdr:sp macro="" textlink="Statistics!AT44">
      <xdr:nvSpPr>
        <xdr:cNvPr id="3079" name="TextBox 3078">
          <a:extLst>
            <a:ext uri="{FF2B5EF4-FFF2-40B4-BE49-F238E27FC236}">
              <a16:creationId xmlns:a16="http://schemas.microsoft.com/office/drawing/2014/main" id="{BD99CD40-1ACA-A421-9D9E-080C1898A8CE}"/>
            </a:ext>
          </a:extLst>
        </xdr:cNvPr>
        <xdr:cNvSpPr txBox="1"/>
      </xdr:nvSpPr>
      <xdr:spPr>
        <a:xfrm>
          <a:off x="2495550" y="939800"/>
          <a:ext cx="1104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0DCF652-3F52-4170-8A4B-99134F917975}" type="TxLink">
            <a:rPr lang="en-US" sz="1100" b="1" i="0" u="none" strike="noStrike">
              <a:solidFill>
                <a:srgbClr val="000000"/>
              </a:solidFill>
              <a:latin typeface="Calibri"/>
              <a:ea typeface="Calibri"/>
              <a:cs typeface="Calibri"/>
            </a:rPr>
            <a:pPr marL="0" indent="0" algn="l"/>
            <a:t>▲ 1.24%</a:t>
          </a:fld>
          <a:endParaRPr lang="en-US" sz="1100" b="1" i="0" u="none" strike="noStrike">
            <a:solidFill>
              <a:srgbClr val="000000"/>
            </a:solidFill>
            <a:latin typeface="Calibri"/>
            <a:ea typeface="Calibri"/>
            <a:cs typeface="Calibri"/>
          </a:endParaRPr>
        </a:p>
      </xdr:txBody>
    </xdr:sp>
    <xdr:clientData/>
  </xdr:twoCellAnchor>
  <xdr:twoCellAnchor>
    <xdr:from>
      <xdr:col>3</xdr:col>
      <xdr:colOff>140359</xdr:colOff>
      <xdr:row>8</xdr:row>
      <xdr:rowOff>72488</xdr:rowOff>
    </xdr:from>
    <xdr:to>
      <xdr:col>5</xdr:col>
      <xdr:colOff>362608</xdr:colOff>
      <xdr:row>9</xdr:row>
      <xdr:rowOff>110589</xdr:rowOff>
    </xdr:to>
    <xdr:sp macro="" textlink="Statistics!AT48">
      <xdr:nvSpPr>
        <xdr:cNvPr id="11" name="TextBox 10">
          <a:extLst>
            <a:ext uri="{FF2B5EF4-FFF2-40B4-BE49-F238E27FC236}">
              <a16:creationId xmlns:a16="http://schemas.microsoft.com/office/drawing/2014/main" id="{1DBB5768-1E89-C793-5944-8A9FC2343156}"/>
            </a:ext>
          </a:extLst>
        </xdr:cNvPr>
        <xdr:cNvSpPr txBox="1"/>
      </xdr:nvSpPr>
      <xdr:spPr>
        <a:xfrm>
          <a:off x="1971138" y="1523917"/>
          <a:ext cx="1442769" cy="21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32B6631-C0D7-439A-A442-D5A1705D94F0}" type="TxLink">
            <a:rPr lang="en-US" sz="700" b="1" i="0" u="none" strike="noStrike">
              <a:solidFill>
                <a:schemeClr val="bg2">
                  <a:lumMod val="50000"/>
                </a:schemeClr>
              </a:solidFill>
              <a:latin typeface="Calibri"/>
              <a:ea typeface="Calibri"/>
              <a:cs typeface="Calibri"/>
            </a:rPr>
            <a:pPr algn="l"/>
            <a:t>Current Month  (₦7.00B)</a:t>
          </a:fld>
          <a:endParaRPr lang="en-US" sz="200" b="1" i="0" u="none" strike="noStrike">
            <a:solidFill>
              <a:schemeClr val="bg2">
                <a:lumMod val="50000"/>
              </a:schemeClr>
            </a:solidFill>
            <a:latin typeface="Calibri"/>
            <a:ea typeface="Calibri"/>
            <a:cs typeface="Calibri"/>
          </a:endParaRPr>
        </a:p>
      </xdr:txBody>
    </xdr:sp>
    <xdr:clientData/>
  </xdr:twoCellAnchor>
  <xdr:twoCellAnchor>
    <xdr:from>
      <xdr:col>6</xdr:col>
      <xdr:colOff>515422</xdr:colOff>
      <xdr:row>8</xdr:row>
      <xdr:rowOff>43459</xdr:rowOff>
    </xdr:from>
    <xdr:to>
      <xdr:col>9</xdr:col>
      <xdr:colOff>127411</xdr:colOff>
      <xdr:row>9</xdr:row>
      <xdr:rowOff>81560</xdr:rowOff>
    </xdr:to>
    <xdr:sp macro="" textlink="Statistics!AV48">
      <xdr:nvSpPr>
        <xdr:cNvPr id="17" name="TextBox 16">
          <a:extLst>
            <a:ext uri="{FF2B5EF4-FFF2-40B4-BE49-F238E27FC236}">
              <a16:creationId xmlns:a16="http://schemas.microsoft.com/office/drawing/2014/main" id="{86382DCF-8CD9-8087-8294-8736D9B00A5A}"/>
            </a:ext>
          </a:extLst>
        </xdr:cNvPr>
        <xdr:cNvSpPr txBox="1"/>
      </xdr:nvSpPr>
      <xdr:spPr>
        <a:xfrm>
          <a:off x="4176980" y="1494888"/>
          <a:ext cx="1442769" cy="21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0608F6B-D80D-4C8F-8476-FF611CAA6332}" type="TxLink">
            <a:rPr lang="en-US" sz="700" b="1" i="0" u="none" strike="noStrike">
              <a:solidFill>
                <a:schemeClr val="bg2">
                  <a:lumMod val="50000"/>
                </a:schemeClr>
              </a:solidFill>
              <a:latin typeface="Calibri"/>
              <a:ea typeface="Calibri"/>
              <a:cs typeface="Calibri"/>
            </a:rPr>
            <a:pPr marL="0" indent="0" algn="l"/>
            <a:t>Current Month  (60)</a:t>
          </a:fld>
          <a:endParaRPr lang="en-US" sz="700" b="1" i="0" u="none" strike="noStrike">
            <a:solidFill>
              <a:schemeClr val="bg2">
                <a:lumMod val="50000"/>
              </a:schemeClr>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7.96816585648" createdVersion="8" refreshedVersion="8" minRefreshableVersion="3" recordCount="500" xr:uid="{245467DA-C311-499E-BBBE-6590A5067409}">
  <cacheSource type="worksheet">
    <worksheetSource name="Table1"/>
  </cacheSource>
  <cacheFields count="18">
    <cacheField name="Order_ID" numFmtId="0">
      <sharedItems containsMixedTypes="1" containsNumber="1" containsInteger="1" minValue="1002" maxValue="1404"/>
    </cacheField>
    <cacheField name="Order ID" numFmtId="0">
      <sharedItems/>
    </cacheField>
    <cacheField name="Order_Date" numFmtId="164">
      <sharedItems containsDate="1" containsMixedTypes="1" minDate="2025-01-02T00:00:00" maxDate="2026-01-01T00:00:00"/>
    </cacheField>
    <cacheField name="Order Date" numFmtId="164">
      <sharedItems containsSemiMixedTypes="0" containsNonDate="0" containsDate="1" containsString="0" minDate="2025-01-02T00:00:00" maxDate="2026-01-01T00:00:00"/>
    </cacheField>
    <cacheField name="Month" numFmtId="164">
      <sharedItems count="12">
        <s v="Apr"/>
        <s v="Mar"/>
        <s v="Jun"/>
        <s v="May"/>
        <s v="Oct"/>
        <s v="Dec"/>
        <s v="Nov"/>
        <s v="Aug"/>
        <s v="Jan"/>
        <s v="Jul"/>
        <s v="Feb"/>
        <s v="Sep"/>
      </sharedItems>
    </cacheField>
    <cacheField name="Year" numFmtId="164">
      <sharedItems/>
    </cacheField>
    <cacheField name="Month Number" numFmtId="1">
      <sharedItems containsSemiMixedTypes="0" containsString="0" containsNumber="1" containsInteger="1" minValue="1" maxValue="12"/>
    </cacheField>
    <cacheField name="Quarter" numFmtId="164">
      <sharedItems/>
    </cacheField>
    <cacheField name="Supplier" numFmtId="0">
      <sharedItems count="6">
        <s v="Nestle"/>
        <s v="Unilever"/>
        <s v="Pz"/>
        <s v="Dangote Plc"/>
        <s v="Bua"/>
        <s v="Unknown"/>
      </sharedItems>
    </cacheField>
    <cacheField name="Product" numFmtId="0">
      <sharedItems count="6">
        <s v="Laptop"/>
        <s v="Cement"/>
        <s v="Noodles"/>
        <s v="Soap"/>
        <s v="Sugar"/>
        <s v="Rice"/>
      </sharedItems>
    </cacheField>
    <cacheField name="Quantity" numFmtId="0">
      <sharedItems containsSemiMixedTypes="0" containsString="0" containsNumber="1" containsInteger="1" minValue="3" maxValue="2500"/>
    </cacheField>
    <cacheField name="Unit_Price" numFmtId="165">
      <sharedItems containsSemiMixedTypes="0" containsString="0" containsNumber="1" containsInteger="1" minValue="800" maxValue="850000"/>
    </cacheField>
    <cacheField name="Delivery_Days" numFmtId="0">
      <sharedItems containsSemiMixedTypes="0" containsString="0" containsNumber="1" containsInteger="1" minValue="1" maxValue="95"/>
    </cacheField>
    <cacheField name="Warehouse" numFmtId="0">
      <sharedItems count="6">
        <s v="Not Assigned"/>
        <s v="Lagos"/>
        <s v="Abuja"/>
        <s v="Port Harcourt"/>
        <s v="Kano"/>
        <s v="Unknown" u="1"/>
      </sharedItems>
    </cacheField>
    <cacheField name="Customer_Region" numFmtId="0">
      <sharedItems count="3">
        <s v="South-West"/>
        <s v="South-South"/>
        <s v="North East"/>
      </sharedItems>
    </cacheField>
    <cacheField name="Order_Status" numFmtId="0">
      <sharedItems count="4">
        <s v="Pending"/>
        <s v="Delivered"/>
        <s v="Returned"/>
        <s v="Cancelled"/>
      </sharedItems>
    </cacheField>
    <cacheField name="Total Sales" numFmtId="165">
      <sharedItems containsSemiMixedTypes="0" containsString="0" containsNumber="1" containsInteger="1" minValue="2400" maxValue="2125000000"/>
    </cacheField>
    <cacheField name="Delivery Category" numFmtId="0">
      <sharedItems count="3">
        <s v="Fast"/>
        <s v="Late"/>
        <s v="Normal"/>
      </sharedItems>
    </cacheField>
  </cacheFields>
  <extLst>
    <ext xmlns:x14="http://schemas.microsoft.com/office/spreadsheetml/2009/9/main" uri="{725AE2AE-9491-48be-B2B4-4EB974FC3084}">
      <x14:pivotCacheDefinition pivotCacheId="773999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APX1273"/>
    <s v="APX1273"/>
    <d v="2025-04-09T00:00:00"/>
    <d v="2025-04-09T00:00:00"/>
    <x v="0"/>
    <s v="2025"/>
    <n v="4"/>
    <s v="Q-2"/>
    <x v="0"/>
    <x v="0"/>
    <n v="30"/>
    <n v="4500"/>
    <n v="2"/>
    <x v="0"/>
    <x v="0"/>
    <x v="0"/>
    <n v="135000"/>
    <x v="0"/>
  </r>
  <r>
    <s v="APX1357"/>
    <s v="APX1357"/>
    <d v="2025-03-26T00:00:00"/>
    <d v="2025-03-26T00:00:00"/>
    <x v="1"/>
    <s v="2025"/>
    <n v="3"/>
    <s v="Q-1"/>
    <x v="1"/>
    <x v="0"/>
    <n v="2500"/>
    <n v="47538"/>
    <n v="95"/>
    <x v="1"/>
    <x v="1"/>
    <x v="1"/>
    <n v="118845000"/>
    <x v="1"/>
  </r>
  <r>
    <s v="APX1176"/>
    <s v="APX1176"/>
    <s v="Mar 11 2025"/>
    <d v="2025-03-11T00:00:00"/>
    <x v="1"/>
    <s v="2025"/>
    <n v="3"/>
    <s v="Q-1"/>
    <x v="2"/>
    <x v="0"/>
    <n v="47"/>
    <n v="800"/>
    <n v="3"/>
    <x v="1"/>
    <x v="0"/>
    <x v="1"/>
    <n v="37600"/>
    <x v="0"/>
  </r>
  <r>
    <s v="APX1213"/>
    <s v="APX1213"/>
    <d v="2025-06-11T00:00:00"/>
    <d v="2025-06-11T00:00:00"/>
    <x v="2"/>
    <s v="2025"/>
    <n v="6"/>
    <s v="Q-2"/>
    <x v="3"/>
    <x v="1"/>
    <n v="30"/>
    <n v="850000"/>
    <n v="3"/>
    <x v="2"/>
    <x v="1"/>
    <x v="1"/>
    <n v="25500000"/>
    <x v="0"/>
  </r>
  <r>
    <n v="1019"/>
    <s v="APX1019"/>
    <d v="2025-04-25T00:00:00"/>
    <d v="2025-04-25T00:00:00"/>
    <x v="0"/>
    <s v="2025"/>
    <n v="4"/>
    <s v="Q-2"/>
    <x v="2"/>
    <x v="0"/>
    <n v="12"/>
    <n v="800"/>
    <n v="3"/>
    <x v="0"/>
    <x v="1"/>
    <x v="1"/>
    <n v="9600"/>
    <x v="0"/>
  </r>
  <r>
    <s v="APX1412"/>
    <s v="APX1412"/>
    <d v="2025-05-21T00:00:00"/>
    <d v="2025-05-21T00:00:00"/>
    <x v="3"/>
    <s v="2025"/>
    <n v="5"/>
    <s v="Q-2"/>
    <x v="3"/>
    <x v="0"/>
    <n v="30"/>
    <n v="4500"/>
    <n v="3"/>
    <x v="2"/>
    <x v="0"/>
    <x v="1"/>
    <n v="135000"/>
    <x v="0"/>
  </r>
  <r>
    <s v="APX1194"/>
    <s v="APX1194"/>
    <d v="2025-10-28T00:00:00"/>
    <d v="2025-10-28T00:00:00"/>
    <x v="4"/>
    <s v="2025"/>
    <n v="10"/>
    <s v="Q-4"/>
    <x v="3"/>
    <x v="2"/>
    <n v="30"/>
    <n v="850000"/>
    <n v="3"/>
    <x v="3"/>
    <x v="1"/>
    <x v="2"/>
    <n v="25500000"/>
    <x v="0"/>
  </r>
  <r>
    <s v="APX1050"/>
    <s v="APX1050"/>
    <d v="2025-12-11T00:00:00"/>
    <d v="2025-12-11T00:00:00"/>
    <x v="5"/>
    <s v="2025"/>
    <n v="12"/>
    <s v="Q-4"/>
    <x v="2"/>
    <x v="0"/>
    <n v="30"/>
    <n v="4500"/>
    <n v="3"/>
    <x v="0"/>
    <x v="1"/>
    <x v="1"/>
    <n v="135000"/>
    <x v="0"/>
  </r>
  <r>
    <s v="APX1277"/>
    <s v="APX1277"/>
    <d v="2025-03-18T00:00:00"/>
    <d v="2025-03-18T00:00:00"/>
    <x v="1"/>
    <s v="2025"/>
    <n v="3"/>
    <s v="Q-1"/>
    <x v="2"/>
    <x v="1"/>
    <n v="30"/>
    <n v="30900"/>
    <n v="95"/>
    <x v="0"/>
    <x v="2"/>
    <x v="1"/>
    <n v="927000"/>
    <x v="1"/>
  </r>
  <r>
    <s v="APX1336"/>
    <s v="APX1336"/>
    <d v="2025-04-02T00:00:00"/>
    <d v="2025-04-02T00:00:00"/>
    <x v="0"/>
    <s v="2025"/>
    <n v="4"/>
    <s v="Q-2"/>
    <x v="4"/>
    <x v="0"/>
    <n v="136"/>
    <n v="6469"/>
    <n v="2"/>
    <x v="3"/>
    <x v="1"/>
    <x v="1"/>
    <n v="879784"/>
    <x v="0"/>
  </r>
  <r>
    <s v="APX1049"/>
    <s v="APX1049"/>
    <d v="2025-10-02T00:00:00"/>
    <d v="2025-10-02T00:00:00"/>
    <x v="4"/>
    <s v="2025"/>
    <n v="10"/>
    <s v="Q-4"/>
    <x v="2"/>
    <x v="2"/>
    <n v="30"/>
    <n v="850000"/>
    <n v="95"/>
    <x v="3"/>
    <x v="1"/>
    <x v="1"/>
    <n v="25500000"/>
    <x v="1"/>
  </r>
  <r>
    <s v="APX1273"/>
    <s v="APX1273"/>
    <d v="2025-11-06T00:00:00"/>
    <d v="2025-11-06T00:00:00"/>
    <x v="6"/>
    <s v="2025"/>
    <n v="11"/>
    <s v="Q-4"/>
    <x v="0"/>
    <x v="0"/>
    <n v="51"/>
    <n v="4500"/>
    <n v="3"/>
    <x v="2"/>
    <x v="2"/>
    <x v="1"/>
    <n v="229500"/>
    <x v="0"/>
  </r>
  <r>
    <s v="APX1309"/>
    <s v="APX1309"/>
    <d v="2025-10-18T00:00:00"/>
    <d v="2025-10-18T00:00:00"/>
    <x v="4"/>
    <s v="2025"/>
    <n v="10"/>
    <s v="Q-4"/>
    <x v="1"/>
    <x v="0"/>
    <n v="26"/>
    <n v="800"/>
    <n v="3"/>
    <x v="4"/>
    <x v="2"/>
    <x v="1"/>
    <n v="20800"/>
    <x v="0"/>
  </r>
  <r>
    <n v="1002"/>
    <s v="APX1002"/>
    <s v="Aug 30 2025"/>
    <d v="2025-08-30T00:00:00"/>
    <x v="7"/>
    <s v="2025"/>
    <n v="8"/>
    <s v="Q-3"/>
    <x v="1"/>
    <x v="0"/>
    <n v="30"/>
    <n v="16574"/>
    <n v="3"/>
    <x v="1"/>
    <x v="1"/>
    <x v="1"/>
    <n v="497220"/>
    <x v="0"/>
  </r>
  <r>
    <s v="APX1271"/>
    <s v="APX1271"/>
    <s v="Dec 05 2025"/>
    <d v="2025-12-05T00:00:00"/>
    <x v="5"/>
    <s v="2025"/>
    <n v="12"/>
    <s v="Q-4"/>
    <x v="4"/>
    <x v="1"/>
    <n v="30"/>
    <n v="6024"/>
    <n v="3"/>
    <x v="3"/>
    <x v="1"/>
    <x v="0"/>
    <n v="180720"/>
    <x v="0"/>
  </r>
  <r>
    <s v="APX1207"/>
    <s v="APX1207"/>
    <s v="Nov 23 2025"/>
    <d v="2025-11-23T00:00:00"/>
    <x v="6"/>
    <s v="2025"/>
    <n v="11"/>
    <s v="Q-4"/>
    <x v="4"/>
    <x v="2"/>
    <n v="2500"/>
    <n v="800"/>
    <n v="12"/>
    <x v="2"/>
    <x v="0"/>
    <x v="1"/>
    <n v="2000000"/>
    <x v="1"/>
  </r>
  <r>
    <s v="APX1011"/>
    <s v="APX1011"/>
    <d v="2025-05-30T00:00:00"/>
    <d v="2025-05-30T00:00:00"/>
    <x v="3"/>
    <s v="2025"/>
    <n v="5"/>
    <s v="Q-2"/>
    <x v="4"/>
    <x v="1"/>
    <n v="12"/>
    <n v="4500"/>
    <n v="95"/>
    <x v="3"/>
    <x v="1"/>
    <x v="1"/>
    <n v="54000"/>
    <x v="1"/>
  </r>
  <r>
    <s v="APX1088"/>
    <s v="APX1088"/>
    <d v="2025-01-06T00:00:00"/>
    <d v="2025-01-06T00:00:00"/>
    <x v="8"/>
    <s v="2025"/>
    <n v="1"/>
    <s v="Q-1"/>
    <x v="5"/>
    <x v="0"/>
    <n v="2500"/>
    <n v="850000"/>
    <n v="95"/>
    <x v="1"/>
    <x v="1"/>
    <x v="0"/>
    <n v="2125000000"/>
    <x v="1"/>
  </r>
  <r>
    <s v="APX1413"/>
    <s v="APX1413"/>
    <d v="2025-12-24T00:00:00"/>
    <d v="2025-12-24T00:00:00"/>
    <x v="5"/>
    <s v="2025"/>
    <n v="12"/>
    <s v="Q-4"/>
    <x v="4"/>
    <x v="3"/>
    <n v="2500"/>
    <n v="3766"/>
    <n v="3"/>
    <x v="1"/>
    <x v="1"/>
    <x v="1"/>
    <n v="9415000"/>
    <x v="0"/>
  </r>
  <r>
    <s v="APX1294"/>
    <s v="APX1294"/>
    <d v="2025-10-18T00:00:00"/>
    <d v="2025-10-18T00:00:00"/>
    <x v="4"/>
    <s v="2025"/>
    <n v="10"/>
    <s v="Q-4"/>
    <x v="2"/>
    <x v="2"/>
    <n v="12"/>
    <n v="850000"/>
    <n v="95"/>
    <x v="3"/>
    <x v="2"/>
    <x v="1"/>
    <n v="10200000"/>
    <x v="1"/>
  </r>
  <r>
    <s v="APX1279"/>
    <s v="APX1279"/>
    <s v="Jul 17 2025"/>
    <d v="2025-07-17T00:00:00"/>
    <x v="9"/>
    <s v="2025"/>
    <n v="7"/>
    <s v="Q-3"/>
    <x v="4"/>
    <x v="0"/>
    <n v="12"/>
    <n v="4500"/>
    <n v="5"/>
    <x v="1"/>
    <x v="1"/>
    <x v="0"/>
    <n v="54000"/>
    <x v="2"/>
  </r>
  <r>
    <s v="APX1377"/>
    <s v="APX1377"/>
    <d v="2025-03-01T00:00:00"/>
    <d v="2025-03-01T00:00:00"/>
    <x v="1"/>
    <s v="2025"/>
    <n v="3"/>
    <s v="Q-1"/>
    <x v="3"/>
    <x v="0"/>
    <n v="131"/>
    <n v="850000"/>
    <n v="3"/>
    <x v="1"/>
    <x v="1"/>
    <x v="1"/>
    <n v="111350000"/>
    <x v="0"/>
  </r>
  <r>
    <s v="APX1246"/>
    <s v="APX1246"/>
    <d v="2025-12-01T00:00:00"/>
    <d v="2025-12-01T00:00:00"/>
    <x v="5"/>
    <s v="2025"/>
    <n v="12"/>
    <s v="Q-4"/>
    <x v="4"/>
    <x v="4"/>
    <n v="29"/>
    <n v="850000"/>
    <n v="11"/>
    <x v="3"/>
    <x v="1"/>
    <x v="3"/>
    <n v="24650000"/>
    <x v="1"/>
  </r>
  <r>
    <n v="1146"/>
    <s v="APX1146"/>
    <s v="Nov 01 2025"/>
    <d v="2025-11-01T00:00:00"/>
    <x v="6"/>
    <s v="2025"/>
    <n v="11"/>
    <s v="Q-4"/>
    <x v="3"/>
    <x v="3"/>
    <n v="30"/>
    <n v="20142"/>
    <n v="14"/>
    <x v="3"/>
    <x v="1"/>
    <x v="1"/>
    <n v="604260"/>
    <x v="1"/>
  </r>
  <r>
    <s v="APX1322"/>
    <s v="APX1322"/>
    <d v="2025-02-10T00:00:00"/>
    <d v="2025-02-10T00:00:00"/>
    <x v="10"/>
    <s v="2025"/>
    <n v="2"/>
    <s v="Q-1"/>
    <x v="0"/>
    <x v="0"/>
    <n v="50"/>
    <n v="6500"/>
    <n v="95"/>
    <x v="1"/>
    <x v="2"/>
    <x v="1"/>
    <n v="325000"/>
    <x v="1"/>
  </r>
  <r>
    <s v="APX1393"/>
    <s v="APX1393"/>
    <d v="2025-05-26T00:00:00"/>
    <d v="2025-05-26T00:00:00"/>
    <x v="3"/>
    <s v="2025"/>
    <n v="5"/>
    <s v="Q-2"/>
    <x v="0"/>
    <x v="2"/>
    <n v="2500"/>
    <n v="27614"/>
    <n v="3"/>
    <x v="0"/>
    <x v="1"/>
    <x v="2"/>
    <n v="69035000"/>
    <x v="0"/>
  </r>
  <r>
    <s v="APX1046"/>
    <s v="APX1046"/>
    <d v="2025-07-01T00:00:00"/>
    <d v="2025-07-01T00:00:00"/>
    <x v="9"/>
    <s v="2025"/>
    <n v="7"/>
    <s v="Q-3"/>
    <x v="3"/>
    <x v="0"/>
    <n v="30"/>
    <n v="800"/>
    <n v="3"/>
    <x v="2"/>
    <x v="1"/>
    <x v="1"/>
    <n v="24000"/>
    <x v="0"/>
  </r>
  <r>
    <s v="APX1235"/>
    <s v="APX1235"/>
    <s v="Jun 15 2025"/>
    <d v="2025-06-15T00:00:00"/>
    <x v="2"/>
    <s v="2025"/>
    <n v="6"/>
    <s v="Q-2"/>
    <x v="0"/>
    <x v="0"/>
    <n v="2500"/>
    <n v="6500"/>
    <n v="3"/>
    <x v="3"/>
    <x v="0"/>
    <x v="0"/>
    <n v="16250000"/>
    <x v="0"/>
  </r>
  <r>
    <s v="APX1293"/>
    <s v="APX1293"/>
    <s v="Jul 20 2025"/>
    <d v="2025-07-20T00:00:00"/>
    <x v="9"/>
    <s v="2025"/>
    <n v="7"/>
    <s v="Q-3"/>
    <x v="3"/>
    <x v="0"/>
    <n v="2500"/>
    <n v="44500"/>
    <n v="3"/>
    <x v="3"/>
    <x v="1"/>
    <x v="1"/>
    <n v="111250000"/>
    <x v="0"/>
  </r>
  <r>
    <s v="APX1287"/>
    <s v="APX1287"/>
    <s v="Nov 13 2025"/>
    <d v="2025-11-13T00:00:00"/>
    <x v="6"/>
    <s v="2025"/>
    <n v="11"/>
    <s v="Q-4"/>
    <x v="4"/>
    <x v="1"/>
    <n v="197"/>
    <n v="4500"/>
    <n v="7"/>
    <x v="0"/>
    <x v="2"/>
    <x v="0"/>
    <n v="886500"/>
    <x v="2"/>
  </r>
  <r>
    <s v="APX1271"/>
    <s v="APX1271"/>
    <d v="2025-12-20T00:00:00"/>
    <d v="2025-12-20T00:00:00"/>
    <x v="5"/>
    <s v="2025"/>
    <n v="12"/>
    <s v="Q-4"/>
    <x v="3"/>
    <x v="1"/>
    <n v="2500"/>
    <n v="800"/>
    <n v="95"/>
    <x v="2"/>
    <x v="2"/>
    <x v="3"/>
    <n v="2000000"/>
    <x v="1"/>
  </r>
  <r>
    <s v="APX1300"/>
    <s v="APX1300"/>
    <d v="2025-02-17T00:00:00"/>
    <d v="2025-02-17T00:00:00"/>
    <x v="10"/>
    <s v="2025"/>
    <n v="2"/>
    <s v="Q-1"/>
    <x v="1"/>
    <x v="1"/>
    <n v="30"/>
    <n v="4500"/>
    <n v="5"/>
    <x v="0"/>
    <x v="1"/>
    <x v="1"/>
    <n v="135000"/>
    <x v="2"/>
  </r>
  <r>
    <s v="APX1224"/>
    <s v="APX1224"/>
    <d v="2025-10-29T00:00:00"/>
    <d v="2025-10-29T00:00:00"/>
    <x v="4"/>
    <s v="2025"/>
    <n v="10"/>
    <s v="Q-4"/>
    <x v="4"/>
    <x v="5"/>
    <n v="30"/>
    <n v="6500"/>
    <n v="95"/>
    <x v="3"/>
    <x v="1"/>
    <x v="3"/>
    <n v="195000"/>
    <x v="1"/>
  </r>
  <r>
    <s v="APX1340"/>
    <s v="APX1340"/>
    <d v="2025-11-17T00:00:00"/>
    <d v="2025-11-17T00:00:00"/>
    <x v="6"/>
    <s v="2025"/>
    <n v="11"/>
    <s v="Q-4"/>
    <x v="4"/>
    <x v="4"/>
    <n v="68"/>
    <n v="850000"/>
    <n v="95"/>
    <x v="0"/>
    <x v="1"/>
    <x v="2"/>
    <n v="57800000"/>
    <x v="1"/>
  </r>
  <r>
    <n v="1379"/>
    <s v="APX1379"/>
    <s v="Dec 28 2025"/>
    <d v="2025-12-28T00:00:00"/>
    <x v="5"/>
    <s v="2025"/>
    <n v="12"/>
    <s v="Q-4"/>
    <x v="2"/>
    <x v="0"/>
    <n v="2500"/>
    <n v="6500"/>
    <n v="2"/>
    <x v="3"/>
    <x v="2"/>
    <x v="2"/>
    <n v="16250000"/>
    <x v="0"/>
  </r>
  <r>
    <s v="APX1232"/>
    <s v="APX1232"/>
    <d v="2025-04-08T00:00:00"/>
    <d v="2025-04-08T00:00:00"/>
    <x v="0"/>
    <s v="2025"/>
    <n v="4"/>
    <s v="Q-2"/>
    <x v="4"/>
    <x v="2"/>
    <n v="2500"/>
    <n v="800"/>
    <n v="95"/>
    <x v="1"/>
    <x v="1"/>
    <x v="1"/>
    <n v="2000000"/>
    <x v="1"/>
  </r>
  <r>
    <s v="APX1297"/>
    <s v="APX1297"/>
    <d v="2025-12-29T00:00:00"/>
    <d v="2025-12-29T00:00:00"/>
    <x v="5"/>
    <s v="2025"/>
    <n v="12"/>
    <s v="Q-4"/>
    <x v="4"/>
    <x v="1"/>
    <n v="12"/>
    <n v="33492"/>
    <n v="3"/>
    <x v="1"/>
    <x v="1"/>
    <x v="1"/>
    <n v="401904"/>
    <x v="0"/>
  </r>
  <r>
    <s v="APX1366"/>
    <s v="APX1366"/>
    <d v="2025-07-19T00:00:00"/>
    <d v="2025-07-19T00:00:00"/>
    <x v="9"/>
    <s v="2025"/>
    <n v="7"/>
    <s v="Q-3"/>
    <x v="0"/>
    <x v="1"/>
    <n v="2500"/>
    <n v="9359"/>
    <n v="95"/>
    <x v="3"/>
    <x v="1"/>
    <x v="1"/>
    <n v="23397500"/>
    <x v="1"/>
  </r>
  <r>
    <s v="APX1170"/>
    <s v="APX1170"/>
    <d v="2025-09-07T00:00:00"/>
    <d v="2025-09-07T00:00:00"/>
    <x v="11"/>
    <s v="2025"/>
    <n v="9"/>
    <s v="Q-4"/>
    <x v="3"/>
    <x v="0"/>
    <n v="2500"/>
    <n v="800"/>
    <n v="95"/>
    <x v="2"/>
    <x v="0"/>
    <x v="3"/>
    <n v="2000000"/>
    <x v="1"/>
  </r>
  <r>
    <s v="APX1393"/>
    <s v="APX1393"/>
    <d v="2025-02-11T00:00:00"/>
    <d v="2025-02-11T00:00:00"/>
    <x v="10"/>
    <s v="2025"/>
    <n v="2"/>
    <s v="Q-1"/>
    <x v="3"/>
    <x v="1"/>
    <n v="2500"/>
    <n v="850000"/>
    <n v="3"/>
    <x v="1"/>
    <x v="1"/>
    <x v="3"/>
    <n v="2125000000"/>
    <x v="0"/>
  </r>
  <r>
    <s v="APX1024"/>
    <s v="APX1024"/>
    <s v="Dec 17 2025"/>
    <d v="2025-12-17T00:00:00"/>
    <x v="5"/>
    <s v="2025"/>
    <n v="12"/>
    <s v="Q-4"/>
    <x v="2"/>
    <x v="0"/>
    <n v="30"/>
    <n v="6500"/>
    <n v="95"/>
    <x v="1"/>
    <x v="1"/>
    <x v="3"/>
    <n v="195000"/>
    <x v="1"/>
  </r>
  <r>
    <s v="APX1392"/>
    <s v="APX1392"/>
    <d v="2025-04-30T00:00:00"/>
    <d v="2025-04-30T00:00:00"/>
    <x v="0"/>
    <s v="2025"/>
    <n v="4"/>
    <s v="Q-2"/>
    <x v="1"/>
    <x v="2"/>
    <n v="12"/>
    <n v="850000"/>
    <n v="9"/>
    <x v="2"/>
    <x v="1"/>
    <x v="2"/>
    <n v="10200000"/>
    <x v="1"/>
  </r>
  <r>
    <s v="APX1023"/>
    <s v="APX1023"/>
    <d v="2025-10-02T00:00:00"/>
    <d v="2025-10-02T00:00:00"/>
    <x v="4"/>
    <s v="2025"/>
    <n v="10"/>
    <s v="Q-4"/>
    <x v="3"/>
    <x v="2"/>
    <n v="12"/>
    <n v="4500"/>
    <n v="95"/>
    <x v="1"/>
    <x v="1"/>
    <x v="3"/>
    <n v="54000"/>
    <x v="1"/>
  </r>
  <r>
    <s v="APX1003"/>
    <s v="APX1003"/>
    <d v="2025-11-29T00:00:00"/>
    <d v="2025-11-29T00:00:00"/>
    <x v="6"/>
    <s v="2025"/>
    <n v="11"/>
    <s v="Q-4"/>
    <x v="0"/>
    <x v="4"/>
    <n v="12"/>
    <n v="6500"/>
    <n v="3"/>
    <x v="2"/>
    <x v="1"/>
    <x v="3"/>
    <n v="78000"/>
    <x v="0"/>
  </r>
  <r>
    <s v="APX1358"/>
    <s v="APX1358"/>
    <d v="2025-07-11T00:00:00"/>
    <d v="2025-07-11T00:00:00"/>
    <x v="9"/>
    <s v="2025"/>
    <n v="7"/>
    <s v="Q-3"/>
    <x v="4"/>
    <x v="2"/>
    <n v="2500"/>
    <n v="30278"/>
    <n v="95"/>
    <x v="3"/>
    <x v="1"/>
    <x v="1"/>
    <n v="75695000"/>
    <x v="1"/>
  </r>
  <r>
    <s v="APX1169"/>
    <s v="APX1169"/>
    <d v="2025-07-20T00:00:00"/>
    <d v="2025-07-20T00:00:00"/>
    <x v="9"/>
    <s v="2025"/>
    <n v="7"/>
    <s v="Q-3"/>
    <x v="4"/>
    <x v="0"/>
    <n v="30"/>
    <n v="800"/>
    <n v="6"/>
    <x v="1"/>
    <x v="1"/>
    <x v="1"/>
    <n v="24000"/>
    <x v="2"/>
  </r>
  <r>
    <s v="APX1050"/>
    <s v="APX1050"/>
    <d v="2025-11-18T00:00:00"/>
    <d v="2025-11-18T00:00:00"/>
    <x v="6"/>
    <s v="2025"/>
    <n v="11"/>
    <s v="Q-4"/>
    <x v="1"/>
    <x v="0"/>
    <n v="12"/>
    <n v="4942"/>
    <n v="3"/>
    <x v="3"/>
    <x v="1"/>
    <x v="1"/>
    <n v="59304"/>
    <x v="0"/>
  </r>
  <r>
    <s v="APX1417"/>
    <s v="APX1417"/>
    <d v="2025-02-13T00:00:00"/>
    <d v="2025-02-13T00:00:00"/>
    <x v="10"/>
    <s v="2025"/>
    <n v="2"/>
    <s v="Q-1"/>
    <x v="1"/>
    <x v="1"/>
    <n v="30"/>
    <n v="4500"/>
    <n v="14"/>
    <x v="3"/>
    <x v="2"/>
    <x v="1"/>
    <n v="135000"/>
    <x v="1"/>
  </r>
  <r>
    <s v="APX1352"/>
    <s v="APX1352"/>
    <d v="2025-06-10T00:00:00"/>
    <d v="2025-06-10T00:00:00"/>
    <x v="2"/>
    <s v="2025"/>
    <n v="6"/>
    <s v="Q-2"/>
    <x v="4"/>
    <x v="0"/>
    <n v="2500"/>
    <n v="850000"/>
    <n v="95"/>
    <x v="3"/>
    <x v="1"/>
    <x v="0"/>
    <n v="2125000000"/>
    <x v="1"/>
  </r>
  <r>
    <s v="APX1223"/>
    <s v="APX1223"/>
    <d v="2025-05-07T00:00:00"/>
    <d v="2025-05-07T00:00:00"/>
    <x v="3"/>
    <s v="2025"/>
    <n v="5"/>
    <s v="Q-2"/>
    <x v="1"/>
    <x v="1"/>
    <n v="2500"/>
    <n v="850000"/>
    <n v="13"/>
    <x v="3"/>
    <x v="1"/>
    <x v="1"/>
    <n v="2125000000"/>
    <x v="1"/>
  </r>
  <r>
    <s v="APX1294"/>
    <s v="APX1294"/>
    <s v="Jan 15 2025"/>
    <d v="2025-01-15T00:00:00"/>
    <x v="8"/>
    <s v="2025"/>
    <n v="1"/>
    <s v="Q-1"/>
    <x v="5"/>
    <x v="4"/>
    <n v="32"/>
    <n v="800"/>
    <n v="3"/>
    <x v="2"/>
    <x v="1"/>
    <x v="0"/>
    <n v="25600"/>
    <x v="0"/>
  </r>
  <r>
    <s v="APX1082"/>
    <s v="APX1082"/>
    <d v="2025-06-13T00:00:00"/>
    <d v="2025-06-13T00:00:00"/>
    <x v="2"/>
    <s v="2025"/>
    <n v="6"/>
    <s v="Q-2"/>
    <x v="3"/>
    <x v="4"/>
    <n v="2500"/>
    <n v="850000"/>
    <n v="4"/>
    <x v="3"/>
    <x v="1"/>
    <x v="0"/>
    <n v="2125000000"/>
    <x v="2"/>
  </r>
  <r>
    <s v="APX1141"/>
    <s v="APX1141"/>
    <s v="Dec 11 2025"/>
    <d v="2025-12-11T00:00:00"/>
    <x v="5"/>
    <s v="2025"/>
    <n v="12"/>
    <s v="Q-4"/>
    <x v="3"/>
    <x v="3"/>
    <n v="30"/>
    <n v="27093"/>
    <n v="3"/>
    <x v="1"/>
    <x v="1"/>
    <x v="1"/>
    <n v="812790"/>
    <x v="0"/>
  </r>
  <r>
    <n v="1028"/>
    <s v="APX1028"/>
    <d v="2025-09-14T00:00:00"/>
    <d v="2025-09-14T00:00:00"/>
    <x v="11"/>
    <s v="2025"/>
    <n v="9"/>
    <s v="Q-4"/>
    <x v="0"/>
    <x v="5"/>
    <n v="2500"/>
    <n v="800"/>
    <n v="3"/>
    <x v="3"/>
    <x v="0"/>
    <x v="1"/>
    <n v="2000000"/>
    <x v="0"/>
  </r>
  <r>
    <s v="APX1190"/>
    <s v="APX1190"/>
    <d v="2025-10-27T00:00:00"/>
    <d v="2025-10-27T00:00:00"/>
    <x v="4"/>
    <s v="2025"/>
    <n v="10"/>
    <s v="Q-4"/>
    <x v="2"/>
    <x v="0"/>
    <n v="2500"/>
    <n v="6500"/>
    <n v="3"/>
    <x v="0"/>
    <x v="2"/>
    <x v="0"/>
    <n v="16250000"/>
    <x v="0"/>
  </r>
  <r>
    <s v="APX1261"/>
    <s v="APX1261"/>
    <d v="2025-12-27T00:00:00"/>
    <d v="2025-12-27T00:00:00"/>
    <x v="5"/>
    <s v="2025"/>
    <n v="12"/>
    <s v="Q-4"/>
    <x v="2"/>
    <x v="1"/>
    <n v="12"/>
    <n v="850000"/>
    <n v="95"/>
    <x v="3"/>
    <x v="1"/>
    <x v="1"/>
    <n v="10200000"/>
    <x v="1"/>
  </r>
  <r>
    <s v="APX1294"/>
    <s v="APX1294"/>
    <d v="2025-08-03T00:00:00"/>
    <d v="2025-08-03T00:00:00"/>
    <x v="7"/>
    <s v="2025"/>
    <n v="8"/>
    <s v="Q-3"/>
    <x v="4"/>
    <x v="3"/>
    <n v="30"/>
    <n v="6500"/>
    <n v="3"/>
    <x v="1"/>
    <x v="1"/>
    <x v="1"/>
    <n v="195000"/>
    <x v="0"/>
  </r>
  <r>
    <s v="APX1386"/>
    <s v="APX1386"/>
    <s v="Jan 16 2025"/>
    <d v="2025-01-16T00:00:00"/>
    <x v="8"/>
    <s v="2025"/>
    <n v="1"/>
    <s v="Q-1"/>
    <x v="0"/>
    <x v="1"/>
    <n v="12"/>
    <n v="39428"/>
    <n v="3"/>
    <x v="0"/>
    <x v="0"/>
    <x v="1"/>
    <n v="473136"/>
    <x v="0"/>
  </r>
  <r>
    <s v="APX1362"/>
    <s v="APX1362"/>
    <s v="May 29 2025"/>
    <d v="2025-05-29T00:00:00"/>
    <x v="3"/>
    <s v="2025"/>
    <n v="5"/>
    <s v="Q-2"/>
    <x v="4"/>
    <x v="0"/>
    <n v="2500"/>
    <n v="6500"/>
    <n v="95"/>
    <x v="4"/>
    <x v="2"/>
    <x v="3"/>
    <n v="16250000"/>
    <x v="1"/>
  </r>
  <r>
    <s v="APX1423"/>
    <s v="APX1423"/>
    <s v="Dec 12 2025"/>
    <d v="2025-12-12T00:00:00"/>
    <x v="5"/>
    <s v="2025"/>
    <n v="12"/>
    <s v="Q-4"/>
    <x v="4"/>
    <x v="0"/>
    <n v="12"/>
    <n v="6500"/>
    <n v="2"/>
    <x v="4"/>
    <x v="1"/>
    <x v="2"/>
    <n v="78000"/>
    <x v="0"/>
  </r>
  <r>
    <n v="1188"/>
    <s v="APX1188"/>
    <d v="2025-12-15T00:00:00"/>
    <d v="2025-12-15T00:00:00"/>
    <x v="5"/>
    <s v="2025"/>
    <n v="12"/>
    <s v="Q-4"/>
    <x v="4"/>
    <x v="2"/>
    <n v="30"/>
    <n v="15779"/>
    <n v="3"/>
    <x v="3"/>
    <x v="1"/>
    <x v="1"/>
    <n v="473370"/>
    <x v="0"/>
  </r>
  <r>
    <s v="APX1204"/>
    <s v="APX1204"/>
    <s v="Jun 23 2025"/>
    <d v="2025-06-23T00:00:00"/>
    <x v="2"/>
    <s v="2025"/>
    <n v="6"/>
    <s v="Q-2"/>
    <x v="5"/>
    <x v="0"/>
    <n v="28"/>
    <n v="23317"/>
    <n v="14"/>
    <x v="1"/>
    <x v="1"/>
    <x v="1"/>
    <n v="652876"/>
    <x v="1"/>
  </r>
  <r>
    <s v="APX1105"/>
    <s v="APX1105"/>
    <d v="2025-06-02T00:00:00"/>
    <d v="2025-06-02T00:00:00"/>
    <x v="2"/>
    <s v="2025"/>
    <n v="6"/>
    <s v="Q-2"/>
    <x v="3"/>
    <x v="5"/>
    <n v="12"/>
    <n v="4500"/>
    <n v="7"/>
    <x v="0"/>
    <x v="2"/>
    <x v="1"/>
    <n v="54000"/>
    <x v="2"/>
  </r>
  <r>
    <s v="APX1254"/>
    <s v="APX1254"/>
    <d v="2025-07-20T00:00:00"/>
    <d v="2025-07-20T00:00:00"/>
    <x v="9"/>
    <s v="2025"/>
    <n v="7"/>
    <s v="Q-3"/>
    <x v="0"/>
    <x v="0"/>
    <n v="173"/>
    <n v="800"/>
    <n v="95"/>
    <x v="1"/>
    <x v="0"/>
    <x v="1"/>
    <n v="138400"/>
    <x v="1"/>
  </r>
  <r>
    <s v="APX1363"/>
    <s v="APX1363"/>
    <s v="Jan 28 2025"/>
    <d v="2025-01-28T00:00:00"/>
    <x v="8"/>
    <s v="2025"/>
    <n v="1"/>
    <s v="Q-1"/>
    <x v="4"/>
    <x v="0"/>
    <n v="163"/>
    <n v="850000"/>
    <n v="3"/>
    <x v="1"/>
    <x v="0"/>
    <x v="1"/>
    <n v="138550000"/>
    <x v="0"/>
  </r>
  <r>
    <n v="1210"/>
    <s v="APX1210"/>
    <d v="2025-09-29T00:00:00"/>
    <d v="2025-09-29T00:00:00"/>
    <x v="11"/>
    <s v="2025"/>
    <n v="9"/>
    <s v="Q-4"/>
    <x v="5"/>
    <x v="0"/>
    <n v="30"/>
    <n v="850000"/>
    <n v="11"/>
    <x v="1"/>
    <x v="2"/>
    <x v="1"/>
    <n v="25500000"/>
    <x v="1"/>
  </r>
  <r>
    <s v="APX1265"/>
    <s v="APX1265"/>
    <d v="2025-06-15T00:00:00"/>
    <d v="2025-06-15T00:00:00"/>
    <x v="2"/>
    <s v="2025"/>
    <n v="6"/>
    <s v="Q-2"/>
    <x v="0"/>
    <x v="5"/>
    <n v="12"/>
    <n v="11991"/>
    <n v="3"/>
    <x v="1"/>
    <x v="1"/>
    <x v="1"/>
    <n v="143892"/>
    <x v="0"/>
  </r>
  <r>
    <s v="APX1251"/>
    <s v="APX1251"/>
    <s v="May 10 2025"/>
    <d v="2025-05-10T00:00:00"/>
    <x v="3"/>
    <s v="2025"/>
    <n v="5"/>
    <s v="Q-2"/>
    <x v="4"/>
    <x v="1"/>
    <n v="2500"/>
    <n v="6500"/>
    <n v="95"/>
    <x v="4"/>
    <x v="2"/>
    <x v="0"/>
    <n v="16250000"/>
    <x v="1"/>
  </r>
  <r>
    <n v="1247"/>
    <s v="APX1247"/>
    <d v="2025-04-02T00:00:00"/>
    <d v="2025-04-02T00:00:00"/>
    <x v="0"/>
    <s v="2025"/>
    <n v="4"/>
    <s v="Q-2"/>
    <x v="0"/>
    <x v="2"/>
    <n v="12"/>
    <n v="800"/>
    <n v="9"/>
    <x v="2"/>
    <x v="1"/>
    <x v="1"/>
    <n v="9600"/>
    <x v="1"/>
  </r>
  <r>
    <n v="1061"/>
    <s v="APX1061"/>
    <s v="Jul 10 2025"/>
    <d v="2025-07-10T00:00:00"/>
    <x v="9"/>
    <s v="2025"/>
    <n v="7"/>
    <s v="Q-3"/>
    <x v="4"/>
    <x v="1"/>
    <n v="25"/>
    <n v="4500"/>
    <n v="3"/>
    <x v="3"/>
    <x v="1"/>
    <x v="1"/>
    <n v="112500"/>
    <x v="0"/>
  </r>
  <r>
    <s v="APX1007"/>
    <s v="APX1007"/>
    <d v="2025-10-14T00:00:00"/>
    <d v="2025-10-14T00:00:00"/>
    <x v="4"/>
    <s v="2025"/>
    <n v="10"/>
    <s v="Q-4"/>
    <x v="5"/>
    <x v="5"/>
    <n v="26"/>
    <n v="4500"/>
    <n v="95"/>
    <x v="1"/>
    <x v="1"/>
    <x v="3"/>
    <n v="117000"/>
    <x v="1"/>
  </r>
  <r>
    <s v="APX1145"/>
    <s v="APX1145"/>
    <d v="2025-01-15T00:00:00"/>
    <d v="2025-01-15T00:00:00"/>
    <x v="8"/>
    <s v="2025"/>
    <n v="1"/>
    <s v="Q-1"/>
    <x v="3"/>
    <x v="3"/>
    <n v="30"/>
    <n v="33206"/>
    <n v="95"/>
    <x v="2"/>
    <x v="1"/>
    <x v="2"/>
    <n v="996180"/>
    <x v="1"/>
  </r>
  <r>
    <s v="APX1114"/>
    <s v="APX1114"/>
    <d v="2025-02-27T00:00:00"/>
    <d v="2025-02-27T00:00:00"/>
    <x v="10"/>
    <s v="2025"/>
    <n v="2"/>
    <s v="Q-1"/>
    <x v="5"/>
    <x v="4"/>
    <n v="2500"/>
    <n v="2289"/>
    <n v="3"/>
    <x v="1"/>
    <x v="1"/>
    <x v="1"/>
    <n v="5722500"/>
    <x v="0"/>
  </r>
  <r>
    <s v="APX1218"/>
    <s v="APX1218"/>
    <s v="Jul 29 2025"/>
    <d v="2025-07-29T00:00:00"/>
    <x v="9"/>
    <s v="2025"/>
    <n v="7"/>
    <s v="Q-3"/>
    <x v="3"/>
    <x v="0"/>
    <n v="30"/>
    <n v="850000"/>
    <n v="3"/>
    <x v="4"/>
    <x v="0"/>
    <x v="1"/>
    <n v="25500000"/>
    <x v="0"/>
  </r>
  <r>
    <s v="APX1065"/>
    <s v="APX1065"/>
    <d v="2025-01-13T00:00:00"/>
    <d v="2025-01-13T00:00:00"/>
    <x v="8"/>
    <s v="2025"/>
    <n v="1"/>
    <s v="Q-1"/>
    <x v="0"/>
    <x v="0"/>
    <n v="12"/>
    <n v="850000"/>
    <n v="12"/>
    <x v="3"/>
    <x v="1"/>
    <x v="1"/>
    <n v="10200000"/>
    <x v="1"/>
  </r>
  <r>
    <s v="APX1071"/>
    <s v="APX1071"/>
    <d v="2025-08-02T00:00:00"/>
    <d v="2025-08-02T00:00:00"/>
    <x v="7"/>
    <s v="2025"/>
    <n v="8"/>
    <s v="Q-3"/>
    <x v="3"/>
    <x v="1"/>
    <n v="154"/>
    <n v="850000"/>
    <n v="13"/>
    <x v="1"/>
    <x v="1"/>
    <x v="2"/>
    <n v="130900000"/>
    <x v="1"/>
  </r>
  <r>
    <s v="APX1232"/>
    <s v="APX1232"/>
    <d v="2025-08-31T00:00:00"/>
    <d v="2025-08-31T00:00:00"/>
    <x v="7"/>
    <s v="2025"/>
    <n v="8"/>
    <s v="Q-3"/>
    <x v="4"/>
    <x v="0"/>
    <n v="30"/>
    <n v="4500"/>
    <n v="14"/>
    <x v="3"/>
    <x v="2"/>
    <x v="1"/>
    <n v="135000"/>
    <x v="1"/>
  </r>
  <r>
    <s v="APX1264"/>
    <s v="APX1264"/>
    <d v="2025-03-30T00:00:00"/>
    <d v="2025-03-30T00:00:00"/>
    <x v="1"/>
    <s v="2025"/>
    <n v="3"/>
    <s v="Q-1"/>
    <x v="1"/>
    <x v="2"/>
    <n v="183"/>
    <n v="8670"/>
    <n v="3"/>
    <x v="3"/>
    <x v="0"/>
    <x v="3"/>
    <n v="1586610"/>
    <x v="0"/>
  </r>
  <r>
    <s v="APX1203"/>
    <s v="APX1203"/>
    <d v="2025-10-13T00:00:00"/>
    <d v="2025-10-13T00:00:00"/>
    <x v="4"/>
    <s v="2025"/>
    <n v="10"/>
    <s v="Q-4"/>
    <x v="3"/>
    <x v="4"/>
    <n v="12"/>
    <n v="32861"/>
    <n v="12"/>
    <x v="1"/>
    <x v="1"/>
    <x v="2"/>
    <n v="394332"/>
    <x v="1"/>
  </r>
  <r>
    <s v="APX1024"/>
    <s v="APX1024"/>
    <s v="Dec 23 2025"/>
    <d v="2025-12-23T00:00:00"/>
    <x v="5"/>
    <s v="2025"/>
    <n v="12"/>
    <s v="Q-4"/>
    <x v="2"/>
    <x v="0"/>
    <n v="2500"/>
    <n v="8888"/>
    <n v="95"/>
    <x v="2"/>
    <x v="1"/>
    <x v="1"/>
    <n v="22220000"/>
    <x v="1"/>
  </r>
  <r>
    <s v="APX1031"/>
    <s v="APX1031"/>
    <d v="2025-07-06T00:00:00"/>
    <d v="2025-07-06T00:00:00"/>
    <x v="9"/>
    <s v="2025"/>
    <n v="7"/>
    <s v="Q-3"/>
    <x v="2"/>
    <x v="2"/>
    <n v="12"/>
    <n v="800"/>
    <n v="3"/>
    <x v="1"/>
    <x v="1"/>
    <x v="3"/>
    <n v="9600"/>
    <x v="0"/>
  </r>
  <r>
    <s v="APX1311"/>
    <s v="APX1311"/>
    <s v="Nov 21 2025"/>
    <d v="2025-11-21T00:00:00"/>
    <x v="6"/>
    <s v="2025"/>
    <n v="11"/>
    <s v="Q-4"/>
    <x v="1"/>
    <x v="4"/>
    <n v="2500"/>
    <n v="6500"/>
    <n v="3"/>
    <x v="1"/>
    <x v="1"/>
    <x v="1"/>
    <n v="16250000"/>
    <x v="0"/>
  </r>
  <r>
    <s v="APX1219"/>
    <s v="APX1219"/>
    <d v="2025-04-03T00:00:00"/>
    <d v="2025-04-03T00:00:00"/>
    <x v="0"/>
    <s v="2025"/>
    <n v="4"/>
    <s v="Q-2"/>
    <x v="3"/>
    <x v="2"/>
    <n v="146"/>
    <n v="4500"/>
    <n v="95"/>
    <x v="3"/>
    <x v="0"/>
    <x v="0"/>
    <n v="657000"/>
    <x v="1"/>
  </r>
  <r>
    <s v="APX1175"/>
    <s v="APX1175"/>
    <d v="2025-09-23T00:00:00"/>
    <d v="2025-09-23T00:00:00"/>
    <x v="11"/>
    <s v="2025"/>
    <n v="9"/>
    <s v="Q-4"/>
    <x v="3"/>
    <x v="0"/>
    <n v="2500"/>
    <n v="850000"/>
    <n v="11"/>
    <x v="2"/>
    <x v="1"/>
    <x v="1"/>
    <n v="2125000000"/>
    <x v="1"/>
  </r>
  <r>
    <s v="APX1391"/>
    <s v="APX1391"/>
    <d v="2025-05-17T00:00:00"/>
    <d v="2025-05-17T00:00:00"/>
    <x v="3"/>
    <s v="2025"/>
    <n v="5"/>
    <s v="Q-2"/>
    <x v="4"/>
    <x v="3"/>
    <n v="2500"/>
    <n v="800"/>
    <n v="3"/>
    <x v="3"/>
    <x v="1"/>
    <x v="1"/>
    <n v="2000000"/>
    <x v="0"/>
  </r>
  <r>
    <n v="1223"/>
    <s v="APX1223"/>
    <s v="May 07 2025"/>
    <d v="2025-05-07T00:00:00"/>
    <x v="3"/>
    <s v="2025"/>
    <n v="5"/>
    <s v="Q-2"/>
    <x v="3"/>
    <x v="4"/>
    <n v="12"/>
    <n v="800"/>
    <n v="3"/>
    <x v="3"/>
    <x v="0"/>
    <x v="2"/>
    <n v="9600"/>
    <x v="0"/>
  </r>
  <r>
    <s v="APX1307"/>
    <s v="APX1307"/>
    <s v="Apr 14 2025"/>
    <d v="2025-04-14T00:00:00"/>
    <x v="0"/>
    <s v="2025"/>
    <n v="4"/>
    <s v="Q-2"/>
    <x v="0"/>
    <x v="1"/>
    <n v="30"/>
    <n v="800"/>
    <n v="5"/>
    <x v="3"/>
    <x v="0"/>
    <x v="1"/>
    <n v="24000"/>
    <x v="2"/>
  </r>
  <r>
    <n v="1041"/>
    <s v="APX1041"/>
    <d v="2025-12-16T00:00:00"/>
    <d v="2025-12-16T00:00:00"/>
    <x v="5"/>
    <s v="2025"/>
    <n v="12"/>
    <s v="Q-4"/>
    <x v="5"/>
    <x v="0"/>
    <n v="192"/>
    <n v="800"/>
    <n v="3"/>
    <x v="1"/>
    <x v="1"/>
    <x v="2"/>
    <n v="153600"/>
    <x v="0"/>
  </r>
  <r>
    <s v="APX1263"/>
    <s v="APX1263"/>
    <d v="2025-07-14T00:00:00"/>
    <d v="2025-07-14T00:00:00"/>
    <x v="9"/>
    <s v="2025"/>
    <n v="7"/>
    <s v="Q-3"/>
    <x v="1"/>
    <x v="0"/>
    <n v="30"/>
    <n v="850000"/>
    <n v="1"/>
    <x v="3"/>
    <x v="1"/>
    <x v="2"/>
    <n v="25500000"/>
    <x v="0"/>
  </r>
  <r>
    <s v="APX1364"/>
    <s v="APX1364"/>
    <s v="Sep 30 2025"/>
    <d v="2025-09-30T00:00:00"/>
    <x v="11"/>
    <s v="2025"/>
    <n v="9"/>
    <s v="Q-4"/>
    <x v="3"/>
    <x v="0"/>
    <n v="2500"/>
    <n v="4054"/>
    <n v="10"/>
    <x v="3"/>
    <x v="1"/>
    <x v="1"/>
    <n v="10135000"/>
    <x v="1"/>
  </r>
  <r>
    <s v="APX1309"/>
    <s v="APX1309"/>
    <d v="2025-09-02T00:00:00"/>
    <d v="2025-09-02T00:00:00"/>
    <x v="11"/>
    <s v="2025"/>
    <n v="9"/>
    <s v="Q-4"/>
    <x v="1"/>
    <x v="0"/>
    <n v="171"/>
    <n v="4500"/>
    <n v="9"/>
    <x v="4"/>
    <x v="1"/>
    <x v="0"/>
    <n v="769500"/>
    <x v="1"/>
  </r>
  <r>
    <s v="APX1375"/>
    <s v="APX1375"/>
    <d v="2025-09-19T00:00:00"/>
    <d v="2025-09-19T00:00:00"/>
    <x v="11"/>
    <s v="2025"/>
    <n v="9"/>
    <s v="Q-4"/>
    <x v="2"/>
    <x v="0"/>
    <n v="30"/>
    <n v="4500"/>
    <n v="95"/>
    <x v="1"/>
    <x v="1"/>
    <x v="0"/>
    <n v="135000"/>
    <x v="1"/>
  </r>
  <r>
    <s v="APX1281"/>
    <s v="APX1281"/>
    <d v="2025-05-18T00:00:00"/>
    <d v="2025-05-18T00:00:00"/>
    <x v="3"/>
    <s v="2025"/>
    <n v="5"/>
    <s v="Q-2"/>
    <x v="5"/>
    <x v="2"/>
    <n v="2500"/>
    <n v="6500"/>
    <n v="95"/>
    <x v="3"/>
    <x v="1"/>
    <x v="1"/>
    <n v="16250000"/>
    <x v="1"/>
  </r>
  <r>
    <s v="APX1112"/>
    <s v="APX1112"/>
    <d v="2025-09-26T00:00:00"/>
    <d v="2025-09-26T00:00:00"/>
    <x v="11"/>
    <s v="2025"/>
    <n v="9"/>
    <s v="Q-4"/>
    <x v="3"/>
    <x v="1"/>
    <n v="2500"/>
    <n v="4500"/>
    <n v="8"/>
    <x v="1"/>
    <x v="1"/>
    <x v="2"/>
    <n v="11250000"/>
    <x v="1"/>
  </r>
  <r>
    <s v="APX1084"/>
    <s v="APX1084"/>
    <d v="2025-10-02T00:00:00"/>
    <d v="2025-10-02T00:00:00"/>
    <x v="4"/>
    <s v="2025"/>
    <n v="10"/>
    <s v="Q-4"/>
    <x v="3"/>
    <x v="2"/>
    <n v="12"/>
    <n v="800"/>
    <n v="3"/>
    <x v="1"/>
    <x v="1"/>
    <x v="1"/>
    <n v="9600"/>
    <x v="0"/>
  </r>
  <r>
    <s v="APX1308"/>
    <s v="APX1308"/>
    <d v="2025-08-23T00:00:00"/>
    <d v="2025-08-23T00:00:00"/>
    <x v="7"/>
    <s v="2025"/>
    <n v="8"/>
    <s v="Q-3"/>
    <x v="3"/>
    <x v="3"/>
    <n v="2500"/>
    <n v="6500"/>
    <n v="95"/>
    <x v="0"/>
    <x v="1"/>
    <x v="1"/>
    <n v="16250000"/>
    <x v="1"/>
  </r>
  <r>
    <s v="APX1044"/>
    <s v="APX1044"/>
    <d v="2025-03-04T00:00:00"/>
    <d v="2025-03-04T00:00:00"/>
    <x v="1"/>
    <s v="2025"/>
    <n v="3"/>
    <s v="Q-1"/>
    <x v="4"/>
    <x v="2"/>
    <n v="102"/>
    <n v="800"/>
    <n v="9"/>
    <x v="3"/>
    <x v="1"/>
    <x v="1"/>
    <n v="81600"/>
    <x v="1"/>
  </r>
  <r>
    <s v="APX1314"/>
    <s v="APX1314"/>
    <d v="2025-01-20T00:00:00"/>
    <d v="2025-01-20T00:00:00"/>
    <x v="8"/>
    <s v="2025"/>
    <n v="1"/>
    <s v="Q-1"/>
    <x v="4"/>
    <x v="3"/>
    <n v="12"/>
    <n v="6500"/>
    <n v="2"/>
    <x v="1"/>
    <x v="1"/>
    <x v="0"/>
    <n v="78000"/>
    <x v="0"/>
  </r>
  <r>
    <n v="1082"/>
    <s v="APX1082"/>
    <d v="2025-03-05T00:00:00"/>
    <d v="2025-03-05T00:00:00"/>
    <x v="1"/>
    <s v="2025"/>
    <n v="3"/>
    <s v="Q-1"/>
    <x v="0"/>
    <x v="5"/>
    <n v="30"/>
    <n v="850000"/>
    <n v="95"/>
    <x v="2"/>
    <x v="0"/>
    <x v="3"/>
    <n v="25500000"/>
    <x v="1"/>
  </r>
  <r>
    <s v="APX1325"/>
    <s v="APX1325"/>
    <s v="Jul 09 2025"/>
    <d v="2025-07-09T00:00:00"/>
    <x v="9"/>
    <s v="2025"/>
    <n v="7"/>
    <s v="Q-3"/>
    <x v="1"/>
    <x v="1"/>
    <n v="160"/>
    <n v="850000"/>
    <n v="3"/>
    <x v="1"/>
    <x v="0"/>
    <x v="1"/>
    <n v="136000000"/>
    <x v="0"/>
  </r>
  <r>
    <n v="1059"/>
    <s v="APX1059"/>
    <d v="2025-02-22T00:00:00"/>
    <d v="2025-02-22T00:00:00"/>
    <x v="10"/>
    <s v="2025"/>
    <n v="2"/>
    <s v="Q-1"/>
    <x v="3"/>
    <x v="2"/>
    <n v="12"/>
    <n v="800"/>
    <n v="1"/>
    <x v="1"/>
    <x v="1"/>
    <x v="1"/>
    <n v="9600"/>
    <x v="0"/>
  </r>
  <r>
    <s v="APX1081"/>
    <s v="APX1081"/>
    <d v="2025-04-12T00:00:00"/>
    <d v="2025-04-12T00:00:00"/>
    <x v="0"/>
    <s v="2025"/>
    <n v="4"/>
    <s v="Q-2"/>
    <x v="3"/>
    <x v="5"/>
    <n v="2500"/>
    <n v="4500"/>
    <n v="95"/>
    <x v="3"/>
    <x v="0"/>
    <x v="2"/>
    <n v="11250000"/>
    <x v="1"/>
  </r>
  <r>
    <s v="APX1348"/>
    <s v="APX1348"/>
    <d v="2025-01-29T00:00:00"/>
    <d v="2025-01-29T00:00:00"/>
    <x v="8"/>
    <s v="2025"/>
    <n v="1"/>
    <s v="Q-1"/>
    <x v="0"/>
    <x v="0"/>
    <n v="198"/>
    <n v="42794"/>
    <n v="1"/>
    <x v="3"/>
    <x v="0"/>
    <x v="1"/>
    <n v="8473212"/>
    <x v="0"/>
  </r>
  <r>
    <s v="APX1140"/>
    <s v="APX1140"/>
    <s v="Jun 21 2025"/>
    <d v="2025-06-21T00:00:00"/>
    <x v="2"/>
    <s v="2025"/>
    <n v="6"/>
    <s v="Q-2"/>
    <x v="2"/>
    <x v="3"/>
    <n v="30"/>
    <n v="39357"/>
    <n v="7"/>
    <x v="1"/>
    <x v="0"/>
    <x v="3"/>
    <n v="1180710"/>
    <x v="2"/>
  </r>
  <r>
    <s v="APX1013"/>
    <s v="APX1013"/>
    <d v="2025-08-02T00:00:00"/>
    <d v="2025-08-02T00:00:00"/>
    <x v="7"/>
    <s v="2025"/>
    <n v="8"/>
    <s v="Q-3"/>
    <x v="4"/>
    <x v="0"/>
    <n v="12"/>
    <n v="47281"/>
    <n v="95"/>
    <x v="3"/>
    <x v="2"/>
    <x v="0"/>
    <n v="567372"/>
    <x v="1"/>
  </r>
  <r>
    <s v="APX1418"/>
    <s v="APX1418"/>
    <s v="Aug 03 2025"/>
    <d v="2025-08-03T00:00:00"/>
    <x v="7"/>
    <s v="2025"/>
    <n v="8"/>
    <s v="Q-3"/>
    <x v="3"/>
    <x v="1"/>
    <n v="12"/>
    <n v="850000"/>
    <n v="3"/>
    <x v="3"/>
    <x v="0"/>
    <x v="1"/>
    <n v="10200000"/>
    <x v="0"/>
  </r>
  <r>
    <s v="APX1028"/>
    <s v="APX1028"/>
    <d v="2025-03-13T00:00:00"/>
    <d v="2025-03-13T00:00:00"/>
    <x v="1"/>
    <s v="2025"/>
    <n v="3"/>
    <s v="Q-1"/>
    <x v="3"/>
    <x v="1"/>
    <n v="30"/>
    <n v="850000"/>
    <n v="3"/>
    <x v="1"/>
    <x v="0"/>
    <x v="1"/>
    <n v="25500000"/>
    <x v="0"/>
  </r>
  <r>
    <s v="APX1150"/>
    <s v="APX1150"/>
    <d v="2025-03-06T00:00:00"/>
    <d v="2025-03-06T00:00:00"/>
    <x v="1"/>
    <s v="2025"/>
    <n v="3"/>
    <s v="Q-1"/>
    <x v="1"/>
    <x v="5"/>
    <n v="160"/>
    <n v="4500"/>
    <n v="3"/>
    <x v="4"/>
    <x v="2"/>
    <x v="1"/>
    <n v="720000"/>
    <x v="0"/>
  </r>
  <r>
    <s v="APX1102"/>
    <s v="APX1102"/>
    <d v="2025-05-23T00:00:00"/>
    <d v="2025-05-23T00:00:00"/>
    <x v="3"/>
    <s v="2025"/>
    <n v="5"/>
    <s v="Q-2"/>
    <x v="1"/>
    <x v="0"/>
    <n v="2500"/>
    <n v="40605"/>
    <n v="3"/>
    <x v="1"/>
    <x v="1"/>
    <x v="1"/>
    <n v="101512500"/>
    <x v="0"/>
  </r>
  <r>
    <s v="APX1403"/>
    <s v="APX1403"/>
    <s v="Apr 17 2025"/>
    <d v="2025-04-17T00:00:00"/>
    <x v="0"/>
    <s v="2025"/>
    <n v="4"/>
    <s v="Q-2"/>
    <x v="3"/>
    <x v="0"/>
    <n v="161"/>
    <n v="21985"/>
    <n v="95"/>
    <x v="2"/>
    <x v="1"/>
    <x v="0"/>
    <n v="3539585"/>
    <x v="1"/>
  </r>
  <r>
    <s v="APX1408"/>
    <s v="APX1408"/>
    <s v="Jan 16 2025"/>
    <d v="2025-01-16T00:00:00"/>
    <x v="8"/>
    <s v="2025"/>
    <n v="1"/>
    <s v="Q-1"/>
    <x v="0"/>
    <x v="5"/>
    <n v="12"/>
    <n v="4500"/>
    <n v="3"/>
    <x v="3"/>
    <x v="1"/>
    <x v="1"/>
    <n v="54000"/>
    <x v="0"/>
  </r>
  <r>
    <s v="APX1084"/>
    <s v="APX1084"/>
    <d v="2025-02-23T00:00:00"/>
    <d v="2025-02-23T00:00:00"/>
    <x v="10"/>
    <s v="2025"/>
    <n v="2"/>
    <s v="Q-1"/>
    <x v="3"/>
    <x v="5"/>
    <n v="12"/>
    <n v="39781"/>
    <n v="10"/>
    <x v="1"/>
    <x v="1"/>
    <x v="2"/>
    <n v="477372"/>
    <x v="1"/>
  </r>
  <r>
    <s v="APX1382"/>
    <s v="APX1382"/>
    <d v="2025-02-03T00:00:00"/>
    <d v="2025-02-03T00:00:00"/>
    <x v="10"/>
    <s v="2025"/>
    <n v="2"/>
    <s v="Q-1"/>
    <x v="0"/>
    <x v="0"/>
    <n v="2500"/>
    <n v="850000"/>
    <n v="3"/>
    <x v="2"/>
    <x v="1"/>
    <x v="1"/>
    <n v="2125000000"/>
    <x v="0"/>
  </r>
  <r>
    <n v="1168"/>
    <s v="APX1168"/>
    <s v="Sep 16 2025"/>
    <d v="2025-09-16T00:00:00"/>
    <x v="11"/>
    <s v="2025"/>
    <n v="9"/>
    <s v="Q-4"/>
    <x v="4"/>
    <x v="4"/>
    <n v="30"/>
    <n v="6500"/>
    <n v="4"/>
    <x v="1"/>
    <x v="1"/>
    <x v="1"/>
    <n v="195000"/>
    <x v="2"/>
  </r>
  <r>
    <n v="1207"/>
    <s v="APX1207"/>
    <s v="Jan 15 2025"/>
    <d v="2025-01-15T00:00:00"/>
    <x v="8"/>
    <s v="2025"/>
    <n v="1"/>
    <s v="Q-1"/>
    <x v="0"/>
    <x v="0"/>
    <n v="2500"/>
    <n v="4500"/>
    <n v="95"/>
    <x v="1"/>
    <x v="1"/>
    <x v="0"/>
    <n v="11250000"/>
    <x v="1"/>
  </r>
  <r>
    <s v="APX1279"/>
    <s v="APX1279"/>
    <s v="Sep 07 2025"/>
    <d v="2025-09-07T00:00:00"/>
    <x v="11"/>
    <s v="2025"/>
    <n v="9"/>
    <s v="Q-4"/>
    <x v="5"/>
    <x v="0"/>
    <n v="12"/>
    <n v="1702"/>
    <n v="95"/>
    <x v="2"/>
    <x v="1"/>
    <x v="3"/>
    <n v="20424"/>
    <x v="1"/>
  </r>
  <r>
    <s v="APX1385"/>
    <s v="APX1385"/>
    <d v="2025-12-07T00:00:00"/>
    <d v="2025-12-07T00:00:00"/>
    <x v="5"/>
    <s v="2025"/>
    <n v="12"/>
    <s v="Q-4"/>
    <x v="2"/>
    <x v="3"/>
    <n v="30"/>
    <n v="800"/>
    <n v="5"/>
    <x v="2"/>
    <x v="1"/>
    <x v="1"/>
    <n v="24000"/>
    <x v="2"/>
  </r>
  <r>
    <s v="APX1398"/>
    <s v="APX1398"/>
    <d v="2025-10-15T00:00:00"/>
    <d v="2025-10-15T00:00:00"/>
    <x v="4"/>
    <s v="2025"/>
    <n v="10"/>
    <s v="Q-4"/>
    <x v="3"/>
    <x v="4"/>
    <n v="2500"/>
    <n v="4500"/>
    <n v="95"/>
    <x v="3"/>
    <x v="1"/>
    <x v="2"/>
    <n v="11250000"/>
    <x v="1"/>
  </r>
  <r>
    <s v="APX1029"/>
    <s v="APX1029"/>
    <s v="Feb 03 2025"/>
    <d v="2025-02-03T00:00:00"/>
    <x v="10"/>
    <s v="2025"/>
    <n v="2"/>
    <s v="Q-1"/>
    <x v="3"/>
    <x v="0"/>
    <n v="2500"/>
    <n v="800"/>
    <n v="3"/>
    <x v="1"/>
    <x v="0"/>
    <x v="1"/>
    <n v="2000000"/>
    <x v="0"/>
  </r>
  <r>
    <s v="APX1405"/>
    <s v="APX1405"/>
    <d v="2025-12-02T00:00:00"/>
    <d v="2025-12-02T00:00:00"/>
    <x v="5"/>
    <s v="2025"/>
    <n v="12"/>
    <s v="Q-4"/>
    <x v="5"/>
    <x v="3"/>
    <n v="12"/>
    <n v="850000"/>
    <n v="3"/>
    <x v="3"/>
    <x v="0"/>
    <x v="1"/>
    <n v="10200000"/>
    <x v="0"/>
  </r>
  <r>
    <s v="APX1044"/>
    <s v="APX1044"/>
    <s v="Mar 07 2025"/>
    <d v="2025-03-07T00:00:00"/>
    <x v="1"/>
    <s v="2025"/>
    <n v="3"/>
    <s v="Q-1"/>
    <x v="0"/>
    <x v="1"/>
    <n v="12"/>
    <n v="850000"/>
    <n v="95"/>
    <x v="1"/>
    <x v="0"/>
    <x v="1"/>
    <n v="10200000"/>
    <x v="1"/>
  </r>
  <r>
    <s v="APX1093"/>
    <s v="APX1093"/>
    <d v="2025-12-31T00:00:00"/>
    <d v="2025-12-31T00:00:00"/>
    <x v="5"/>
    <s v="2025"/>
    <n v="12"/>
    <s v="Q-4"/>
    <x v="4"/>
    <x v="0"/>
    <n v="12"/>
    <n v="800"/>
    <n v="3"/>
    <x v="0"/>
    <x v="1"/>
    <x v="1"/>
    <n v="9600"/>
    <x v="0"/>
  </r>
  <r>
    <s v="APX1033"/>
    <s v="APX1033"/>
    <d v="2025-05-01T00:00:00"/>
    <d v="2025-05-01T00:00:00"/>
    <x v="3"/>
    <s v="2025"/>
    <n v="5"/>
    <s v="Q-2"/>
    <x v="5"/>
    <x v="2"/>
    <n v="152"/>
    <n v="6500"/>
    <n v="3"/>
    <x v="3"/>
    <x v="2"/>
    <x v="1"/>
    <n v="988000"/>
    <x v="0"/>
  </r>
  <r>
    <s v="APX1083"/>
    <s v="APX1083"/>
    <s v="Oct 10 2025"/>
    <d v="2025-10-10T00:00:00"/>
    <x v="4"/>
    <s v="2025"/>
    <n v="10"/>
    <s v="Q-4"/>
    <x v="3"/>
    <x v="1"/>
    <n v="12"/>
    <n v="4500"/>
    <n v="95"/>
    <x v="3"/>
    <x v="1"/>
    <x v="2"/>
    <n v="54000"/>
    <x v="1"/>
  </r>
  <r>
    <s v="APX1241"/>
    <s v="APX1241"/>
    <d v="2025-05-19T00:00:00"/>
    <d v="2025-05-19T00:00:00"/>
    <x v="3"/>
    <s v="2025"/>
    <n v="5"/>
    <s v="Q-2"/>
    <x v="4"/>
    <x v="0"/>
    <n v="2500"/>
    <n v="800"/>
    <n v="3"/>
    <x v="3"/>
    <x v="1"/>
    <x v="2"/>
    <n v="2000000"/>
    <x v="0"/>
  </r>
  <r>
    <s v="APX1224"/>
    <s v="APX1224"/>
    <d v="2025-04-19T00:00:00"/>
    <d v="2025-04-19T00:00:00"/>
    <x v="0"/>
    <s v="2025"/>
    <n v="4"/>
    <s v="Q-2"/>
    <x v="4"/>
    <x v="1"/>
    <n v="30"/>
    <n v="850000"/>
    <n v="11"/>
    <x v="1"/>
    <x v="1"/>
    <x v="1"/>
    <n v="25500000"/>
    <x v="1"/>
  </r>
  <r>
    <s v="APX1000"/>
    <s v="APX1000"/>
    <d v="2025-03-12T00:00:00"/>
    <d v="2025-03-12T00:00:00"/>
    <x v="1"/>
    <s v="2025"/>
    <n v="3"/>
    <s v="Q-1"/>
    <x v="3"/>
    <x v="0"/>
    <n v="30"/>
    <n v="16349"/>
    <n v="10"/>
    <x v="3"/>
    <x v="0"/>
    <x v="1"/>
    <n v="490470"/>
    <x v="1"/>
  </r>
  <r>
    <s v="APX1404"/>
    <s v="APX1404"/>
    <s v="Aug 30 2025"/>
    <d v="2025-08-30T00:00:00"/>
    <x v="7"/>
    <s v="2025"/>
    <n v="8"/>
    <s v="Q-3"/>
    <x v="3"/>
    <x v="2"/>
    <n v="2500"/>
    <n v="800"/>
    <n v="95"/>
    <x v="3"/>
    <x v="1"/>
    <x v="1"/>
    <n v="2000000"/>
    <x v="1"/>
  </r>
  <r>
    <s v="APX1307"/>
    <s v="APX1307"/>
    <d v="2025-04-06T00:00:00"/>
    <d v="2025-04-06T00:00:00"/>
    <x v="0"/>
    <s v="2025"/>
    <n v="4"/>
    <s v="Q-2"/>
    <x v="5"/>
    <x v="0"/>
    <n v="12"/>
    <n v="6500"/>
    <n v="3"/>
    <x v="2"/>
    <x v="1"/>
    <x v="2"/>
    <n v="78000"/>
    <x v="0"/>
  </r>
  <r>
    <s v="APX1184"/>
    <s v="APX1184"/>
    <d v="2025-01-31T00:00:00"/>
    <d v="2025-01-31T00:00:00"/>
    <x v="8"/>
    <s v="2025"/>
    <n v="1"/>
    <s v="Q-1"/>
    <x v="2"/>
    <x v="0"/>
    <n v="30"/>
    <n v="6500"/>
    <n v="95"/>
    <x v="0"/>
    <x v="0"/>
    <x v="3"/>
    <n v="195000"/>
    <x v="1"/>
  </r>
  <r>
    <s v="APX1384"/>
    <s v="APX1384"/>
    <d v="2025-11-04T00:00:00"/>
    <d v="2025-11-04T00:00:00"/>
    <x v="6"/>
    <s v="2025"/>
    <n v="11"/>
    <s v="Q-4"/>
    <x v="0"/>
    <x v="0"/>
    <n v="2500"/>
    <n v="4500"/>
    <n v="95"/>
    <x v="3"/>
    <x v="2"/>
    <x v="3"/>
    <n v="11250000"/>
    <x v="1"/>
  </r>
  <r>
    <s v="APX1130"/>
    <s v="APX1130"/>
    <s v="Apr 11 2025"/>
    <d v="2025-04-11T00:00:00"/>
    <x v="0"/>
    <s v="2025"/>
    <n v="4"/>
    <s v="Q-2"/>
    <x v="5"/>
    <x v="1"/>
    <n v="106"/>
    <n v="4500"/>
    <n v="95"/>
    <x v="3"/>
    <x v="1"/>
    <x v="0"/>
    <n v="477000"/>
    <x v="1"/>
  </r>
  <r>
    <s v="APX1026"/>
    <s v="APX1026"/>
    <d v="2025-02-19T00:00:00"/>
    <d v="2025-02-19T00:00:00"/>
    <x v="10"/>
    <s v="2025"/>
    <n v="2"/>
    <s v="Q-1"/>
    <x v="0"/>
    <x v="0"/>
    <n v="12"/>
    <n v="4500"/>
    <n v="3"/>
    <x v="3"/>
    <x v="1"/>
    <x v="3"/>
    <n v="54000"/>
    <x v="0"/>
  </r>
  <r>
    <s v="APX1417"/>
    <s v="APX1417"/>
    <d v="2025-06-09T00:00:00"/>
    <d v="2025-06-09T00:00:00"/>
    <x v="2"/>
    <s v="2025"/>
    <n v="6"/>
    <s v="Q-2"/>
    <x v="3"/>
    <x v="0"/>
    <n v="12"/>
    <n v="4500"/>
    <n v="95"/>
    <x v="3"/>
    <x v="0"/>
    <x v="2"/>
    <n v="54000"/>
    <x v="1"/>
  </r>
  <r>
    <s v="APX1370"/>
    <s v="APX1370"/>
    <s v="Mar 17 2025"/>
    <d v="2025-03-17T00:00:00"/>
    <x v="1"/>
    <s v="2025"/>
    <n v="3"/>
    <s v="Q-1"/>
    <x v="3"/>
    <x v="0"/>
    <n v="12"/>
    <n v="6500"/>
    <n v="3"/>
    <x v="0"/>
    <x v="1"/>
    <x v="0"/>
    <n v="78000"/>
    <x v="0"/>
  </r>
  <r>
    <s v="APX1199"/>
    <s v="APX1199"/>
    <s v="Jul 25 2025"/>
    <d v="2025-07-25T00:00:00"/>
    <x v="9"/>
    <s v="2025"/>
    <n v="7"/>
    <s v="Q-3"/>
    <x v="3"/>
    <x v="0"/>
    <n v="30"/>
    <n v="4500"/>
    <n v="3"/>
    <x v="1"/>
    <x v="1"/>
    <x v="3"/>
    <n v="135000"/>
    <x v="0"/>
  </r>
  <r>
    <s v="APX1006"/>
    <s v="APX1006"/>
    <d v="2025-08-31T00:00:00"/>
    <d v="2025-08-31T00:00:00"/>
    <x v="7"/>
    <s v="2025"/>
    <n v="8"/>
    <s v="Q-3"/>
    <x v="4"/>
    <x v="0"/>
    <n v="30"/>
    <n v="4500"/>
    <n v="95"/>
    <x v="1"/>
    <x v="2"/>
    <x v="2"/>
    <n v="135000"/>
    <x v="1"/>
  </r>
  <r>
    <s v="APX1421"/>
    <s v="APX1421"/>
    <d v="2025-05-18T00:00:00"/>
    <d v="2025-05-18T00:00:00"/>
    <x v="3"/>
    <s v="2025"/>
    <n v="5"/>
    <s v="Q-2"/>
    <x v="3"/>
    <x v="1"/>
    <n v="147"/>
    <n v="6500"/>
    <n v="95"/>
    <x v="3"/>
    <x v="0"/>
    <x v="3"/>
    <n v="955500"/>
    <x v="1"/>
  </r>
  <r>
    <s v="APX1394"/>
    <s v="APX1394"/>
    <s v="Sep 09 2025"/>
    <d v="2025-09-09T00:00:00"/>
    <x v="11"/>
    <s v="2025"/>
    <n v="9"/>
    <s v="Q-4"/>
    <x v="4"/>
    <x v="1"/>
    <n v="12"/>
    <n v="800"/>
    <n v="3"/>
    <x v="3"/>
    <x v="2"/>
    <x v="0"/>
    <n v="9600"/>
    <x v="0"/>
  </r>
  <r>
    <s v="APX1146"/>
    <s v="APX1146"/>
    <d v="2025-11-15T00:00:00"/>
    <d v="2025-11-15T00:00:00"/>
    <x v="6"/>
    <s v="2025"/>
    <n v="11"/>
    <s v="Q-4"/>
    <x v="3"/>
    <x v="2"/>
    <n v="30"/>
    <n v="850000"/>
    <n v="3"/>
    <x v="3"/>
    <x v="2"/>
    <x v="0"/>
    <n v="25500000"/>
    <x v="0"/>
  </r>
  <r>
    <s v="APX1331"/>
    <s v="APX1331"/>
    <d v="2025-12-23T00:00:00"/>
    <d v="2025-12-23T00:00:00"/>
    <x v="5"/>
    <s v="2025"/>
    <n v="12"/>
    <s v="Q-4"/>
    <x v="5"/>
    <x v="1"/>
    <n v="2500"/>
    <n v="4500"/>
    <n v="95"/>
    <x v="3"/>
    <x v="1"/>
    <x v="1"/>
    <n v="11250000"/>
    <x v="1"/>
  </r>
  <r>
    <s v="APX1401"/>
    <s v="APX1401"/>
    <d v="2025-01-22T00:00:00"/>
    <d v="2025-01-22T00:00:00"/>
    <x v="8"/>
    <s v="2025"/>
    <n v="1"/>
    <s v="Q-1"/>
    <x v="3"/>
    <x v="0"/>
    <n v="12"/>
    <n v="850000"/>
    <n v="3"/>
    <x v="2"/>
    <x v="1"/>
    <x v="2"/>
    <n v="10200000"/>
    <x v="0"/>
  </r>
  <r>
    <s v="APX1009"/>
    <s v="APX1009"/>
    <d v="2025-05-22T00:00:00"/>
    <d v="2025-05-22T00:00:00"/>
    <x v="3"/>
    <s v="2025"/>
    <n v="5"/>
    <s v="Q-2"/>
    <x v="4"/>
    <x v="0"/>
    <n v="44"/>
    <n v="18704"/>
    <n v="3"/>
    <x v="1"/>
    <x v="1"/>
    <x v="0"/>
    <n v="822976"/>
    <x v="0"/>
  </r>
  <r>
    <s v="APX1287"/>
    <s v="APX1287"/>
    <d v="2025-02-13T00:00:00"/>
    <d v="2025-02-13T00:00:00"/>
    <x v="10"/>
    <s v="2025"/>
    <n v="2"/>
    <s v="Q-1"/>
    <x v="5"/>
    <x v="0"/>
    <n v="160"/>
    <n v="6500"/>
    <n v="3"/>
    <x v="2"/>
    <x v="1"/>
    <x v="0"/>
    <n v="1040000"/>
    <x v="0"/>
  </r>
  <r>
    <s v="APX1170"/>
    <s v="APX1170"/>
    <d v="2025-11-05T00:00:00"/>
    <d v="2025-11-05T00:00:00"/>
    <x v="6"/>
    <s v="2025"/>
    <n v="11"/>
    <s v="Q-4"/>
    <x v="2"/>
    <x v="2"/>
    <n v="2500"/>
    <n v="6500"/>
    <n v="3"/>
    <x v="1"/>
    <x v="0"/>
    <x v="2"/>
    <n v="16250000"/>
    <x v="0"/>
  </r>
  <r>
    <s v="APX1330"/>
    <s v="APX1330"/>
    <d v="2025-08-06T00:00:00"/>
    <d v="2025-08-06T00:00:00"/>
    <x v="7"/>
    <s v="2025"/>
    <n v="8"/>
    <s v="Q-3"/>
    <x v="3"/>
    <x v="3"/>
    <n v="30"/>
    <n v="4500"/>
    <n v="8"/>
    <x v="1"/>
    <x v="1"/>
    <x v="3"/>
    <n v="135000"/>
    <x v="1"/>
  </r>
  <r>
    <s v="APX1369"/>
    <s v="APX1369"/>
    <s v="Apr 29 2025"/>
    <d v="2025-04-29T00:00:00"/>
    <x v="0"/>
    <s v="2025"/>
    <n v="4"/>
    <s v="Q-2"/>
    <x v="1"/>
    <x v="2"/>
    <n v="12"/>
    <n v="6500"/>
    <n v="3"/>
    <x v="3"/>
    <x v="2"/>
    <x v="1"/>
    <n v="78000"/>
    <x v="0"/>
  </r>
  <r>
    <s v="APX1210"/>
    <s v="APX1210"/>
    <d v="2025-10-06T00:00:00"/>
    <d v="2025-10-06T00:00:00"/>
    <x v="4"/>
    <s v="2025"/>
    <n v="10"/>
    <s v="Q-4"/>
    <x v="0"/>
    <x v="0"/>
    <n v="12"/>
    <n v="6500"/>
    <n v="95"/>
    <x v="0"/>
    <x v="2"/>
    <x v="1"/>
    <n v="78000"/>
    <x v="1"/>
  </r>
  <r>
    <s v="APX1135"/>
    <s v="APX1135"/>
    <d v="2025-06-24T00:00:00"/>
    <d v="2025-06-24T00:00:00"/>
    <x v="2"/>
    <s v="2025"/>
    <n v="6"/>
    <s v="Q-2"/>
    <x v="3"/>
    <x v="3"/>
    <n v="30"/>
    <n v="39745"/>
    <n v="3"/>
    <x v="1"/>
    <x v="1"/>
    <x v="1"/>
    <n v="1192350"/>
    <x v="0"/>
  </r>
  <r>
    <s v="APX1382"/>
    <s v="APX1382"/>
    <d v="2025-12-16T00:00:00"/>
    <d v="2025-12-16T00:00:00"/>
    <x v="5"/>
    <s v="2025"/>
    <n v="12"/>
    <s v="Q-4"/>
    <x v="3"/>
    <x v="2"/>
    <n v="2500"/>
    <n v="13165"/>
    <n v="3"/>
    <x v="3"/>
    <x v="1"/>
    <x v="1"/>
    <n v="32912500"/>
    <x v="0"/>
  </r>
  <r>
    <s v="APX1284"/>
    <s v="APX1284"/>
    <s v="Aug 02 2025"/>
    <d v="2025-08-02T00:00:00"/>
    <x v="7"/>
    <s v="2025"/>
    <n v="8"/>
    <s v="Q-3"/>
    <x v="3"/>
    <x v="1"/>
    <n v="12"/>
    <n v="800"/>
    <n v="3"/>
    <x v="1"/>
    <x v="2"/>
    <x v="0"/>
    <n v="9600"/>
    <x v="0"/>
  </r>
  <r>
    <s v="APX1288"/>
    <s v="APX1288"/>
    <d v="2025-03-10T00:00:00"/>
    <d v="2025-03-10T00:00:00"/>
    <x v="1"/>
    <s v="2025"/>
    <n v="3"/>
    <s v="Q-1"/>
    <x v="2"/>
    <x v="3"/>
    <n v="125"/>
    <n v="4500"/>
    <n v="3"/>
    <x v="1"/>
    <x v="2"/>
    <x v="1"/>
    <n v="562500"/>
    <x v="0"/>
  </r>
  <r>
    <n v="1366"/>
    <s v="APX1366"/>
    <d v="2025-03-29T00:00:00"/>
    <d v="2025-03-29T00:00:00"/>
    <x v="1"/>
    <s v="2025"/>
    <n v="3"/>
    <s v="Q-1"/>
    <x v="3"/>
    <x v="3"/>
    <n v="12"/>
    <n v="4500"/>
    <n v="3"/>
    <x v="2"/>
    <x v="1"/>
    <x v="0"/>
    <n v="54000"/>
    <x v="0"/>
  </r>
  <r>
    <s v="APX1268"/>
    <s v="APX1268"/>
    <d v="2025-02-02T00:00:00"/>
    <d v="2025-02-02T00:00:00"/>
    <x v="10"/>
    <s v="2025"/>
    <n v="2"/>
    <s v="Q-1"/>
    <x v="3"/>
    <x v="2"/>
    <n v="30"/>
    <n v="42700"/>
    <n v="3"/>
    <x v="3"/>
    <x v="1"/>
    <x v="1"/>
    <n v="1281000"/>
    <x v="0"/>
  </r>
  <r>
    <s v="APX1215"/>
    <s v="APX1215"/>
    <d v="2025-01-26T00:00:00"/>
    <d v="2025-01-26T00:00:00"/>
    <x v="8"/>
    <s v="2025"/>
    <n v="1"/>
    <s v="Q-1"/>
    <x v="4"/>
    <x v="3"/>
    <n v="2500"/>
    <n v="800"/>
    <n v="95"/>
    <x v="3"/>
    <x v="1"/>
    <x v="1"/>
    <n v="2000000"/>
    <x v="1"/>
  </r>
  <r>
    <s v="APX1266"/>
    <s v="APX1266"/>
    <d v="2025-12-29T00:00:00"/>
    <d v="2025-12-29T00:00:00"/>
    <x v="5"/>
    <s v="2025"/>
    <n v="12"/>
    <s v="Q-4"/>
    <x v="0"/>
    <x v="1"/>
    <n v="2500"/>
    <n v="800"/>
    <n v="8"/>
    <x v="3"/>
    <x v="2"/>
    <x v="1"/>
    <n v="2000000"/>
    <x v="1"/>
  </r>
  <r>
    <s v="APX1357"/>
    <s v="APX1357"/>
    <d v="2025-02-27T00:00:00"/>
    <d v="2025-02-27T00:00:00"/>
    <x v="10"/>
    <s v="2025"/>
    <n v="2"/>
    <s v="Q-1"/>
    <x v="0"/>
    <x v="5"/>
    <n v="2500"/>
    <n v="800"/>
    <n v="6"/>
    <x v="2"/>
    <x v="1"/>
    <x v="1"/>
    <n v="2000000"/>
    <x v="2"/>
  </r>
  <r>
    <s v="APX1380"/>
    <s v="APX1380"/>
    <d v="2025-06-18T00:00:00"/>
    <d v="2025-06-18T00:00:00"/>
    <x v="2"/>
    <s v="2025"/>
    <n v="6"/>
    <s v="Q-2"/>
    <x v="5"/>
    <x v="0"/>
    <n v="2500"/>
    <n v="4500"/>
    <n v="95"/>
    <x v="3"/>
    <x v="0"/>
    <x v="1"/>
    <n v="11250000"/>
    <x v="1"/>
  </r>
  <r>
    <s v="APX1294"/>
    <s v="APX1294"/>
    <d v="2025-10-01T00:00:00"/>
    <d v="2025-10-01T00:00:00"/>
    <x v="4"/>
    <s v="2025"/>
    <n v="10"/>
    <s v="Q-4"/>
    <x v="3"/>
    <x v="0"/>
    <n v="2500"/>
    <n v="800"/>
    <n v="3"/>
    <x v="3"/>
    <x v="1"/>
    <x v="1"/>
    <n v="2000000"/>
    <x v="0"/>
  </r>
  <r>
    <s v="APX1282"/>
    <s v="APX1282"/>
    <d v="2025-12-26T00:00:00"/>
    <d v="2025-12-26T00:00:00"/>
    <x v="5"/>
    <s v="2025"/>
    <n v="12"/>
    <s v="Q-4"/>
    <x v="0"/>
    <x v="5"/>
    <n v="2500"/>
    <n v="850000"/>
    <n v="4"/>
    <x v="1"/>
    <x v="1"/>
    <x v="2"/>
    <n v="2125000000"/>
    <x v="2"/>
  </r>
  <r>
    <s v="APX1225"/>
    <s v="APX1225"/>
    <d v="2025-09-06T00:00:00"/>
    <d v="2025-09-06T00:00:00"/>
    <x v="11"/>
    <s v="2025"/>
    <n v="9"/>
    <s v="Q-4"/>
    <x v="2"/>
    <x v="0"/>
    <n v="2500"/>
    <n v="6500"/>
    <n v="95"/>
    <x v="3"/>
    <x v="1"/>
    <x v="1"/>
    <n v="16250000"/>
    <x v="1"/>
  </r>
  <r>
    <s v="APX1360"/>
    <s v="APX1360"/>
    <d v="2025-12-01T00:00:00"/>
    <d v="2025-12-01T00:00:00"/>
    <x v="5"/>
    <s v="2025"/>
    <n v="12"/>
    <s v="Q-4"/>
    <x v="4"/>
    <x v="3"/>
    <n v="136"/>
    <n v="850000"/>
    <n v="9"/>
    <x v="3"/>
    <x v="1"/>
    <x v="1"/>
    <n v="115600000"/>
    <x v="1"/>
  </r>
  <r>
    <s v="APX1199"/>
    <s v="APX1199"/>
    <s v="Dec 25 2025"/>
    <d v="2025-12-25T00:00:00"/>
    <x v="5"/>
    <s v="2025"/>
    <n v="12"/>
    <s v="Q-4"/>
    <x v="2"/>
    <x v="3"/>
    <n v="2500"/>
    <n v="48218"/>
    <n v="3"/>
    <x v="3"/>
    <x v="1"/>
    <x v="1"/>
    <n v="120545000"/>
    <x v="0"/>
  </r>
  <r>
    <s v="APX1254"/>
    <s v="APX1254"/>
    <d v="2025-03-06T00:00:00"/>
    <d v="2025-03-06T00:00:00"/>
    <x v="1"/>
    <s v="2025"/>
    <n v="3"/>
    <s v="Q-1"/>
    <x v="0"/>
    <x v="5"/>
    <n v="12"/>
    <n v="4500"/>
    <n v="5"/>
    <x v="4"/>
    <x v="1"/>
    <x v="1"/>
    <n v="54000"/>
    <x v="2"/>
  </r>
  <r>
    <s v="APX1197"/>
    <s v="APX1197"/>
    <d v="2025-11-30T00:00:00"/>
    <d v="2025-11-30T00:00:00"/>
    <x v="6"/>
    <s v="2025"/>
    <n v="11"/>
    <s v="Q-4"/>
    <x v="3"/>
    <x v="0"/>
    <n v="12"/>
    <n v="4500"/>
    <n v="4"/>
    <x v="1"/>
    <x v="1"/>
    <x v="0"/>
    <n v="54000"/>
    <x v="2"/>
  </r>
  <r>
    <s v="APX1073"/>
    <s v="APX1073"/>
    <d v="2025-03-31T00:00:00"/>
    <d v="2025-03-31T00:00:00"/>
    <x v="1"/>
    <s v="2025"/>
    <n v="3"/>
    <s v="Q-1"/>
    <x v="2"/>
    <x v="1"/>
    <n v="30"/>
    <n v="6500"/>
    <n v="3"/>
    <x v="1"/>
    <x v="1"/>
    <x v="1"/>
    <n v="195000"/>
    <x v="0"/>
  </r>
  <r>
    <s v="APX1142"/>
    <s v="APX1142"/>
    <d v="2025-12-15T00:00:00"/>
    <d v="2025-12-15T00:00:00"/>
    <x v="5"/>
    <s v="2025"/>
    <n v="12"/>
    <s v="Q-4"/>
    <x v="3"/>
    <x v="5"/>
    <n v="30"/>
    <n v="800"/>
    <n v="5"/>
    <x v="3"/>
    <x v="2"/>
    <x v="1"/>
    <n v="24000"/>
    <x v="2"/>
  </r>
  <r>
    <s v="APX1073"/>
    <s v="APX1073"/>
    <d v="2025-05-20T00:00:00"/>
    <d v="2025-05-20T00:00:00"/>
    <x v="3"/>
    <s v="2025"/>
    <n v="5"/>
    <s v="Q-2"/>
    <x v="3"/>
    <x v="5"/>
    <n v="96"/>
    <n v="4500"/>
    <n v="2"/>
    <x v="3"/>
    <x v="1"/>
    <x v="2"/>
    <n v="432000"/>
    <x v="0"/>
  </r>
  <r>
    <s v="APX1290"/>
    <s v="APX1290"/>
    <s v="Jun 22 2025"/>
    <d v="2025-06-22T00:00:00"/>
    <x v="2"/>
    <s v="2025"/>
    <n v="6"/>
    <s v="Q-2"/>
    <x v="4"/>
    <x v="5"/>
    <n v="12"/>
    <n v="7649"/>
    <n v="3"/>
    <x v="1"/>
    <x v="1"/>
    <x v="1"/>
    <n v="91788"/>
    <x v="0"/>
  </r>
  <r>
    <s v="APX1375"/>
    <s v="APX1375"/>
    <d v="2025-08-14T00:00:00"/>
    <d v="2025-08-14T00:00:00"/>
    <x v="7"/>
    <s v="2025"/>
    <n v="8"/>
    <s v="Q-3"/>
    <x v="3"/>
    <x v="2"/>
    <n v="30"/>
    <n v="6500"/>
    <n v="3"/>
    <x v="3"/>
    <x v="1"/>
    <x v="1"/>
    <n v="195000"/>
    <x v="0"/>
  </r>
  <r>
    <s v="APX1389"/>
    <s v="APX1389"/>
    <s v="Oct 24 2025"/>
    <d v="2025-10-24T00:00:00"/>
    <x v="4"/>
    <s v="2025"/>
    <n v="10"/>
    <s v="Q-4"/>
    <x v="3"/>
    <x v="0"/>
    <n v="197"/>
    <n v="800"/>
    <n v="95"/>
    <x v="3"/>
    <x v="1"/>
    <x v="1"/>
    <n v="157600"/>
    <x v="1"/>
  </r>
  <r>
    <s v="APX1353"/>
    <s v="APX1353"/>
    <d v="2025-09-21T00:00:00"/>
    <d v="2025-09-21T00:00:00"/>
    <x v="11"/>
    <s v="2025"/>
    <n v="9"/>
    <s v="Q-4"/>
    <x v="0"/>
    <x v="2"/>
    <n v="12"/>
    <n v="6500"/>
    <n v="3"/>
    <x v="1"/>
    <x v="2"/>
    <x v="1"/>
    <n v="78000"/>
    <x v="0"/>
  </r>
  <r>
    <s v="APX1335"/>
    <s v="APX1335"/>
    <s v="Mar 02 2025"/>
    <d v="2025-03-02T00:00:00"/>
    <x v="1"/>
    <s v="2025"/>
    <n v="3"/>
    <s v="Q-1"/>
    <x v="3"/>
    <x v="4"/>
    <n v="30"/>
    <n v="800"/>
    <n v="4"/>
    <x v="2"/>
    <x v="2"/>
    <x v="1"/>
    <n v="24000"/>
    <x v="2"/>
  </r>
  <r>
    <s v="APX1244"/>
    <s v="APX1244"/>
    <d v="2025-09-28T00:00:00"/>
    <d v="2025-09-28T00:00:00"/>
    <x v="11"/>
    <s v="2025"/>
    <n v="9"/>
    <s v="Q-4"/>
    <x v="3"/>
    <x v="0"/>
    <n v="2500"/>
    <n v="800"/>
    <n v="3"/>
    <x v="1"/>
    <x v="1"/>
    <x v="1"/>
    <n v="2000000"/>
    <x v="0"/>
  </r>
  <r>
    <s v="APX1119"/>
    <s v="APX1119"/>
    <d v="2025-10-29T00:00:00"/>
    <d v="2025-10-29T00:00:00"/>
    <x v="4"/>
    <s v="2025"/>
    <n v="10"/>
    <s v="Q-4"/>
    <x v="2"/>
    <x v="0"/>
    <n v="12"/>
    <n v="4500"/>
    <n v="4"/>
    <x v="3"/>
    <x v="0"/>
    <x v="1"/>
    <n v="54000"/>
    <x v="2"/>
  </r>
  <r>
    <s v="APX1291"/>
    <s v="APX1291"/>
    <d v="2025-12-30T00:00:00"/>
    <d v="2025-12-30T00:00:00"/>
    <x v="5"/>
    <s v="2025"/>
    <n v="12"/>
    <s v="Q-4"/>
    <x v="0"/>
    <x v="0"/>
    <n v="176"/>
    <n v="800"/>
    <n v="1"/>
    <x v="1"/>
    <x v="1"/>
    <x v="2"/>
    <n v="140800"/>
    <x v="0"/>
  </r>
  <r>
    <s v="APX1039"/>
    <s v="APX1039"/>
    <d v="2025-09-12T00:00:00"/>
    <d v="2025-09-12T00:00:00"/>
    <x v="11"/>
    <s v="2025"/>
    <n v="9"/>
    <s v="Q-4"/>
    <x v="3"/>
    <x v="3"/>
    <n v="2500"/>
    <n v="800"/>
    <n v="95"/>
    <x v="2"/>
    <x v="2"/>
    <x v="3"/>
    <n v="2000000"/>
    <x v="1"/>
  </r>
  <r>
    <s v="APX1136"/>
    <s v="APX1136"/>
    <d v="2025-12-24T00:00:00"/>
    <d v="2025-12-24T00:00:00"/>
    <x v="5"/>
    <s v="2025"/>
    <n v="12"/>
    <s v="Q-4"/>
    <x v="4"/>
    <x v="1"/>
    <n v="117"/>
    <n v="800"/>
    <n v="3"/>
    <x v="3"/>
    <x v="1"/>
    <x v="1"/>
    <n v="93600"/>
    <x v="0"/>
  </r>
  <r>
    <s v="APX1009"/>
    <s v="APX1009"/>
    <s v="Sep 05 2025"/>
    <d v="2025-09-05T00:00:00"/>
    <x v="11"/>
    <s v="2025"/>
    <n v="9"/>
    <s v="Q-4"/>
    <x v="4"/>
    <x v="3"/>
    <n v="2500"/>
    <n v="850000"/>
    <n v="10"/>
    <x v="2"/>
    <x v="1"/>
    <x v="1"/>
    <n v="2125000000"/>
    <x v="1"/>
  </r>
  <r>
    <s v="APX1214"/>
    <s v="APX1214"/>
    <d v="2025-01-03T00:00:00"/>
    <d v="2025-01-03T00:00:00"/>
    <x v="8"/>
    <s v="2025"/>
    <n v="1"/>
    <s v="Q-1"/>
    <x v="4"/>
    <x v="5"/>
    <n v="33"/>
    <n v="800"/>
    <n v="3"/>
    <x v="3"/>
    <x v="0"/>
    <x v="1"/>
    <n v="26400"/>
    <x v="0"/>
  </r>
  <r>
    <s v="APX1157"/>
    <s v="APX1157"/>
    <s v="Jul 31 2025"/>
    <d v="2025-07-31T00:00:00"/>
    <x v="9"/>
    <s v="2025"/>
    <n v="7"/>
    <s v="Q-3"/>
    <x v="1"/>
    <x v="0"/>
    <n v="56"/>
    <n v="4500"/>
    <n v="9"/>
    <x v="3"/>
    <x v="0"/>
    <x v="2"/>
    <n v="252000"/>
    <x v="1"/>
  </r>
  <r>
    <s v="APX1129"/>
    <s v="APX1129"/>
    <d v="2025-11-01T00:00:00"/>
    <d v="2025-11-01T00:00:00"/>
    <x v="6"/>
    <s v="2025"/>
    <n v="11"/>
    <s v="Q-4"/>
    <x v="3"/>
    <x v="2"/>
    <n v="2500"/>
    <n v="850000"/>
    <n v="95"/>
    <x v="2"/>
    <x v="1"/>
    <x v="1"/>
    <n v="2125000000"/>
    <x v="1"/>
  </r>
  <r>
    <s v="APX1069"/>
    <s v="APX1069"/>
    <s v="Nov 13 2025"/>
    <d v="2025-11-13T00:00:00"/>
    <x v="6"/>
    <s v="2025"/>
    <n v="11"/>
    <s v="Q-4"/>
    <x v="5"/>
    <x v="4"/>
    <n v="12"/>
    <n v="4500"/>
    <n v="95"/>
    <x v="3"/>
    <x v="1"/>
    <x v="1"/>
    <n v="54000"/>
    <x v="1"/>
  </r>
  <r>
    <s v="APX1393"/>
    <s v="APX1393"/>
    <d v="2025-12-21T00:00:00"/>
    <d v="2025-12-21T00:00:00"/>
    <x v="5"/>
    <s v="2025"/>
    <n v="12"/>
    <s v="Q-4"/>
    <x v="3"/>
    <x v="0"/>
    <n v="30"/>
    <n v="850000"/>
    <n v="3"/>
    <x v="0"/>
    <x v="1"/>
    <x v="1"/>
    <n v="25500000"/>
    <x v="0"/>
  </r>
  <r>
    <s v="APX1423"/>
    <s v="APX1423"/>
    <s v="Aug 27 2025"/>
    <d v="2025-08-27T00:00:00"/>
    <x v="7"/>
    <s v="2025"/>
    <n v="8"/>
    <s v="Q-3"/>
    <x v="4"/>
    <x v="4"/>
    <n v="12"/>
    <n v="9708"/>
    <n v="95"/>
    <x v="2"/>
    <x v="1"/>
    <x v="1"/>
    <n v="116496"/>
    <x v="1"/>
  </r>
  <r>
    <s v="APX1112"/>
    <s v="APX1112"/>
    <d v="2025-09-03T00:00:00"/>
    <d v="2025-09-03T00:00:00"/>
    <x v="11"/>
    <s v="2025"/>
    <n v="9"/>
    <s v="Q-4"/>
    <x v="3"/>
    <x v="4"/>
    <n v="12"/>
    <n v="800"/>
    <n v="3"/>
    <x v="3"/>
    <x v="2"/>
    <x v="1"/>
    <n v="9600"/>
    <x v="0"/>
  </r>
  <r>
    <s v="APX1365"/>
    <s v="APX1365"/>
    <d v="2025-07-06T00:00:00"/>
    <d v="2025-07-06T00:00:00"/>
    <x v="9"/>
    <s v="2025"/>
    <n v="7"/>
    <s v="Q-3"/>
    <x v="5"/>
    <x v="5"/>
    <n v="30"/>
    <n v="4500"/>
    <n v="95"/>
    <x v="1"/>
    <x v="0"/>
    <x v="3"/>
    <n v="135000"/>
    <x v="1"/>
  </r>
  <r>
    <n v="1313"/>
    <s v="APX1313"/>
    <s v="Jan 03 2025"/>
    <d v="2025-01-03T00:00:00"/>
    <x v="8"/>
    <s v="2025"/>
    <n v="1"/>
    <s v="Q-1"/>
    <x v="3"/>
    <x v="0"/>
    <n v="2500"/>
    <n v="6500"/>
    <n v="10"/>
    <x v="4"/>
    <x v="1"/>
    <x v="1"/>
    <n v="16250000"/>
    <x v="1"/>
  </r>
  <r>
    <s v="APX1109"/>
    <s v="APX1109"/>
    <s v="Dec 19 2025"/>
    <d v="2025-12-19T00:00:00"/>
    <x v="5"/>
    <s v="2025"/>
    <n v="12"/>
    <s v="Q-4"/>
    <x v="4"/>
    <x v="2"/>
    <n v="2500"/>
    <n v="850000"/>
    <n v="3"/>
    <x v="2"/>
    <x v="1"/>
    <x v="1"/>
    <n v="2125000000"/>
    <x v="0"/>
  </r>
  <r>
    <s v="APX1105"/>
    <s v="APX1105"/>
    <d v="2025-12-14T00:00:00"/>
    <d v="2025-12-14T00:00:00"/>
    <x v="5"/>
    <s v="2025"/>
    <n v="12"/>
    <s v="Q-4"/>
    <x v="3"/>
    <x v="3"/>
    <n v="12"/>
    <n v="14541"/>
    <n v="3"/>
    <x v="0"/>
    <x v="1"/>
    <x v="1"/>
    <n v="174492"/>
    <x v="0"/>
  </r>
  <r>
    <s v="APX1281"/>
    <s v="APX1281"/>
    <d v="2025-10-15T00:00:00"/>
    <d v="2025-10-15T00:00:00"/>
    <x v="4"/>
    <s v="2025"/>
    <n v="10"/>
    <s v="Q-4"/>
    <x v="0"/>
    <x v="0"/>
    <n v="30"/>
    <n v="850000"/>
    <n v="95"/>
    <x v="4"/>
    <x v="1"/>
    <x v="1"/>
    <n v="25500000"/>
    <x v="1"/>
  </r>
  <r>
    <s v="APX1239"/>
    <s v="APX1239"/>
    <d v="2025-10-08T00:00:00"/>
    <d v="2025-10-08T00:00:00"/>
    <x v="4"/>
    <s v="2025"/>
    <n v="10"/>
    <s v="Q-4"/>
    <x v="0"/>
    <x v="1"/>
    <n v="12"/>
    <n v="23371"/>
    <n v="95"/>
    <x v="3"/>
    <x v="1"/>
    <x v="0"/>
    <n v="280452"/>
    <x v="1"/>
  </r>
  <r>
    <s v="APX1167"/>
    <s v="APX1167"/>
    <d v="2025-03-21T00:00:00"/>
    <d v="2025-03-21T00:00:00"/>
    <x v="1"/>
    <s v="2025"/>
    <n v="3"/>
    <s v="Q-1"/>
    <x v="5"/>
    <x v="1"/>
    <n v="2500"/>
    <n v="6500"/>
    <n v="3"/>
    <x v="4"/>
    <x v="1"/>
    <x v="1"/>
    <n v="16250000"/>
    <x v="0"/>
  </r>
  <r>
    <s v="APX1277"/>
    <s v="APX1277"/>
    <d v="2025-07-18T00:00:00"/>
    <d v="2025-07-18T00:00:00"/>
    <x v="9"/>
    <s v="2025"/>
    <n v="7"/>
    <s v="Q-3"/>
    <x v="3"/>
    <x v="2"/>
    <n v="30"/>
    <n v="6970"/>
    <n v="3"/>
    <x v="2"/>
    <x v="1"/>
    <x v="3"/>
    <n v="209100"/>
    <x v="0"/>
  </r>
  <r>
    <s v="APX1231"/>
    <s v="APX1231"/>
    <d v="2025-12-01T00:00:00"/>
    <d v="2025-12-01T00:00:00"/>
    <x v="5"/>
    <s v="2025"/>
    <n v="12"/>
    <s v="Q-4"/>
    <x v="2"/>
    <x v="0"/>
    <n v="12"/>
    <n v="4500"/>
    <n v="3"/>
    <x v="3"/>
    <x v="0"/>
    <x v="1"/>
    <n v="54000"/>
    <x v="0"/>
  </r>
  <r>
    <s v="APX1410"/>
    <s v="APX1410"/>
    <d v="2025-11-27T00:00:00"/>
    <d v="2025-11-27T00:00:00"/>
    <x v="6"/>
    <s v="2025"/>
    <n v="11"/>
    <s v="Q-4"/>
    <x v="3"/>
    <x v="2"/>
    <n v="12"/>
    <n v="800"/>
    <n v="3"/>
    <x v="4"/>
    <x v="1"/>
    <x v="1"/>
    <n v="9600"/>
    <x v="0"/>
  </r>
  <r>
    <s v="APX1156"/>
    <s v="APX1156"/>
    <s v="Aug 11 2025"/>
    <d v="2025-08-11T00:00:00"/>
    <x v="7"/>
    <s v="2025"/>
    <n v="8"/>
    <s v="Q-3"/>
    <x v="2"/>
    <x v="5"/>
    <n v="12"/>
    <n v="14624"/>
    <n v="95"/>
    <x v="0"/>
    <x v="1"/>
    <x v="1"/>
    <n v="175488"/>
    <x v="1"/>
  </r>
  <r>
    <s v="APX1281"/>
    <s v="APX1281"/>
    <d v="2025-01-26T00:00:00"/>
    <d v="2025-01-26T00:00:00"/>
    <x v="8"/>
    <s v="2025"/>
    <n v="1"/>
    <s v="Q-1"/>
    <x v="3"/>
    <x v="5"/>
    <n v="40"/>
    <n v="850000"/>
    <n v="95"/>
    <x v="2"/>
    <x v="1"/>
    <x v="1"/>
    <n v="34000000"/>
    <x v="1"/>
  </r>
  <r>
    <s v="APX1344"/>
    <s v="APX1344"/>
    <d v="2025-09-29T00:00:00"/>
    <d v="2025-09-29T00:00:00"/>
    <x v="11"/>
    <s v="2025"/>
    <n v="9"/>
    <s v="Q-4"/>
    <x v="0"/>
    <x v="5"/>
    <n v="12"/>
    <n v="6500"/>
    <n v="10"/>
    <x v="0"/>
    <x v="1"/>
    <x v="1"/>
    <n v="78000"/>
    <x v="1"/>
  </r>
  <r>
    <s v="APX1293"/>
    <s v="APX1293"/>
    <d v="2025-05-07T00:00:00"/>
    <d v="2025-05-07T00:00:00"/>
    <x v="3"/>
    <s v="2025"/>
    <n v="5"/>
    <s v="Q-2"/>
    <x v="3"/>
    <x v="0"/>
    <n v="30"/>
    <n v="850000"/>
    <n v="95"/>
    <x v="3"/>
    <x v="1"/>
    <x v="3"/>
    <n v="25500000"/>
    <x v="1"/>
  </r>
  <r>
    <s v="APX1371"/>
    <s v="APX1371"/>
    <s v="Oct 30 2025"/>
    <d v="2025-10-30T00:00:00"/>
    <x v="4"/>
    <s v="2025"/>
    <n v="10"/>
    <s v="Q-4"/>
    <x v="5"/>
    <x v="2"/>
    <n v="30"/>
    <n v="800"/>
    <n v="3"/>
    <x v="1"/>
    <x v="1"/>
    <x v="1"/>
    <n v="24000"/>
    <x v="0"/>
  </r>
  <r>
    <s v="APX1138"/>
    <s v="APX1138"/>
    <s v="Nov 03 2025"/>
    <d v="2025-11-03T00:00:00"/>
    <x v="6"/>
    <s v="2025"/>
    <n v="11"/>
    <s v="Q-4"/>
    <x v="2"/>
    <x v="1"/>
    <n v="30"/>
    <n v="6500"/>
    <n v="8"/>
    <x v="1"/>
    <x v="2"/>
    <x v="1"/>
    <n v="195000"/>
    <x v="1"/>
  </r>
  <r>
    <s v="APX1308"/>
    <s v="APX1308"/>
    <d v="2025-04-20T00:00:00"/>
    <d v="2025-04-20T00:00:00"/>
    <x v="0"/>
    <s v="2025"/>
    <n v="4"/>
    <s v="Q-2"/>
    <x v="0"/>
    <x v="4"/>
    <n v="2500"/>
    <n v="4500"/>
    <n v="3"/>
    <x v="3"/>
    <x v="2"/>
    <x v="1"/>
    <n v="11250000"/>
    <x v="0"/>
  </r>
  <r>
    <s v="APX1079"/>
    <s v="APX1079"/>
    <d v="2025-12-25T00:00:00"/>
    <d v="2025-12-25T00:00:00"/>
    <x v="5"/>
    <s v="2025"/>
    <n v="12"/>
    <s v="Q-4"/>
    <x v="1"/>
    <x v="3"/>
    <n v="12"/>
    <n v="6500"/>
    <n v="2"/>
    <x v="1"/>
    <x v="1"/>
    <x v="1"/>
    <n v="78000"/>
    <x v="0"/>
  </r>
  <r>
    <s v="APX1055"/>
    <s v="APX1055"/>
    <d v="2025-09-20T00:00:00"/>
    <d v="2025-09-20T00:00:00"/>
    <x v="11"/>
    <s v="2025"/>
    <n v="9"/>
    <s v="Q-4"/>
    <x v="2"/>
    <x v="0"/>
    <n v="12"/>
    <n v="850000"/>
    <n v="95"/>
    <x v="3"/>
    <x v="0"/>
    <x v="1"/>
    <n v="10200000"/>
    <x v="1"/>
  </r>
  <r>
    <s v="APX1366"/>
    <s v="APX1366"/>
    <d v="2025-10-25T00:00:00"/>
    <d v="2025-10-25T00:00:00"/>
    <x v="4"/>
    <s v="2025"/>
    <n v="10"/>
    <s v="Q-4"/>
    <x v="4"/>
    <x v="2"/>
    <n v="30"/>
    <n v="17559"/>
    <n v="4"/>
    <x v="4"/>
    <x v="0"/>
    <x v="1"/>
    <n v="526770"/>
    <x v="2"/>
  </r>
  <r>
    <s v="APX1054"/>
    <s v="APX1054"/>
    <d v="2025-09-12T00:00:00"/>
    <d v="2025-09-12T00:00:00"/>
    <x v="11"/>
    <s v="2025"/>
    <n v="9"/>
    <s v="Q-4"/>
    <x v="2"/>
    <x v="4"/>
    <n v="12"/>
    <n v="6500"/>
    <n v="95"/>
    <x v="1"/>
    <x v="1"/>
    <x v="2"/>
    <n v="78000"/>
    <x v="1"/>
  </r>
  <r>
    <s v="APX1160"/>
    <s v="APX1160"/>
    <d v="2025-04-24T00:00:00"/>
    <d v="2025-04-24T00:00:00"/>
    <x v="0"/>
    <s v="2025"/>
    <n v="4"/>
    <s v="Q-2"/>
    <x v="5"/>
    <x v="3"/>
    <n v="145"/>
    <n v="800"/>
    <n v="7"/>
    <x v="3"/>
    <x v="1"/>
    <x v="2"/>
    <n v="116000"/>
    <x v="2"/>
  </r>
  <r>
    <s v="APX1114"/>
    <s v="APX1114"/>
    <d v="2025-10-01T00:00:00"/>
    <d v="2025-10-01T00:00:00"/>
    <x v="4"/>
    <s v="2025"/>
    <n v="10"/>
    <s v="Q-4"/>
    <x v="0"/>
    <x v="2"/>
    <n v="12"/>
    <n v="800"/>
    <n v="4"/>
    <x v="1"/>
    <x v="1"/>
    <x v="3"/>
    <n v="9600"/>
    <x v="2"/>
  </r>
  <r>
    <s v="APX1395"/>
    <s v="APX1395"/>
    <d v="2025-02-28T00:00:00"/>
    <d v="2025-02-28T00:00:00"/>
    <x v="10"/>
    <s v="2025"/>
    <n v="2"/>
    <s v="Q-1"/>
    <x v="1"/>
    <x v="0"/>
    <n v="41"/>
    <n v="850000"/>
    <n v="3"/>
    <x v="0"/>
    <x v="1"/>
    <x v="1"/>
    <n v="34850000"/>
    <x v="0"/>
  </r>
  <r>
    <s v="APX1411"/>
    <s v="APX1411"/>
    <d v="2025-09-28T00:00:00"/>
    <d v="2025-09-28T00:00:00"/>
    <x v="11"/>
    <s v="2025"/>
    <n v="9"/>
    <s v="Q-4"/>
    <x v="1"/>
    <x v="2"/>
    <n v="30"/>
    <n v="26888"/>
    <n v="5"/>
    <x v="3"/>
    <x v="1"/>
    <x v="1"/>
    <n v="806640"/>
    <x v="2"/>
  </r>
  <r>
    <s v="APX1065"/>
    <s v="APX1065"/>
    <d v="2025-02-13T00:00:00"/>
    <d v="2025-02-13T00:00:00"/>
    <x v="10"/>
    <s v="2025"/>
    <n v="2"/>
    <s v="Q-1"/>
    <x v="5"/>
    <x v="0"/>
    <n v="2500"/>
    <n v="800"/>
    <n v="10"/>
    <x v="3"/>
    <x v="1"/>
    <x v="1"/>
    <n v="2000000"/>
    <x v="1"/>
  </r>
  <r>
    <s v="APX1315"/>
    <s v="APX1315"/>
    <s v="Nov 11 2025"/>
    <d v="2025-11-11T00:00:00"/>
    <x v="6"/>
    <s v="2025"/>
    <n v="11"/>
    <s v="Q-4"/>
    <x v="4"/>
    <x v="5"/>
    <n v="30"/>
    <n v="2837"/>
    <n v="5"/>
    <x v="3"/>
    <x v="1"/>
    <x v="1"/>
    <n v="85110"/>
    <x v="2"/>
  </r>
  <r>
    <s v="APX1085"/>
    <s v="APX1085"/>
    <d v="2025-08-15T00:00:00"/>
    <d v="2025-08-15T00:00:00"/>
    <x v="7"/>
    <s v="2025"/>
    <n v="8"/>
    <s v="Q-3"/>
    <x v="4"/>
    <x v="2"/>
    <n v="2500"/>
    <n v="800"/>
    <n v="3"/>
    <x v="4"/>
    <x v="1"/>
    <x v="1"/>
    <n v="2000000"/>
    <x v="0"/>
  </r>
  <r>
    <s v="APX1318"/>
    <s v="APX1318"/>
    <d v="2025-11-28T00:00:00"/>
    <d v="2025-11-28T00:00:00"/>
    <x v="6"/>
    <s v="2025"/>
    <n v="11"/>
    <s v="Q-4"/>
    <x v="2"/>
    <x v="0"/>
    <n v="154"/>
    <n v="6500"/>
    <n v="3"/>
    <x v="1"/>
    <x v="1"/>
    <x v="1"/>
    <n v="1001000"/>
    <x v="0"/>
  </r>
  <r>
    <s v="APX1304"/>
    <s v="APX1304"/>
    <d v="2025-11-08T00:00:00"/>
    <d v="2025-11-08T00:00:00"/>
    <x v="6"/>
    <s v="2025"/>
    <n v="11"/>
    <s v="Q-4"/>
    <x v="4"/>
    <x v="0"/>
    <n v="30"/>
    <n v="6500"/>
    <n v="3"/>
    <x v="2"/>
    <x v="1"/>
    <x v="2"/>
    <n v="195000"/>
    <x v="0"/>
  </r>
  <r>
    <s v="APX1211"/>
    <s v="APX1211"/>
    <d v="2025-06-11T00:00:00"/>
    <d v="2025-06-11T00:00:00"/>
    <x v="2"/>
    <s v="2025"/>
    <n v="6"/>
    <s v="Q-2"/>
    <x v="4"/>
    <x v="4"/>
    <n v="196"/>
    <n v="4500"/>
    <n v="3"/>
    <x v="1"/>
    <x v="1"/>
    <x v="3"/>
    <n v="882000"/>
    <x v="0"/>
  </r>
  <r>
    <s v="APX1028"/>
    <s v="APX1028"/>
    <s v="May 12 2025"/>
    <d v="2025-05-12T00:00:00"/>
    <x v="3"/>
    <s v="2025"/>
    <n v="5"/>
    <s v="Q-2"/>
    <x v="5"/>
    <x v="5"/>
    <n v="12"/>
    <n v="850000"/>
    <n v="4"/>
    <x v="3"/>
    <x v="1"/>
    <x v="1"/>
    <n v="10200000"/>
    <x v="2"/>
  </r>
  <r>
    <s v="APX1006"/>
    <s v="APX1006"/>
    <d v="2025-09-02T00:00:00"/>
    <d v="2025-09-02T00:00:00"/>
    <x v="11"/>
    <s v="2025"/>
    <n v="9"/>
    <s v="Q-4"/>
    <x v="3"/>
    <x v="3"/>
    <n v="12"/>
    <n v="46858"/>
    <n v="1"/>
    <x v="1"/>
    <x v="0"/>
    <x v="1"/>
    <n v="562296"/>
    <x v="0"/>
  </r>
  <r>
    <s v="APX1266"/>
    <s v="APX1266"/>
    <d v="2025-01-02T00:00:00"/>
    <d v="2025-01-02T00:00:00"/>
    <x v="8"/>
    <s v="2025"/>
    <n v="1"/>
    <s v="Q-1"/>
    <x v="0"/>
    <x v="0"/>
    <n v="30"/>
    <n v="850000"/>
    <n v="2"/>
    <x v="3"/>
    <x v="1"/>
    <x v="1"/>
    <n v="25500000"/>
    <x v="0"/>
  </r>
  <r>
    <s v="APX1220"/>
    <s v="APX1220"/>
    <s v="Dec 18 2025"/>
    <d v="2025-12-18T00:00:00"/>
    <x v="5"/>
    <s v="2025"/>
    <n v="12"/>
    <s v="Q-4"/>
    <x v="0"/>
    <x v="2"/>
    <n v="2500"/>
    <n v="800"/>
    <n v="95"/>
    <x v="3"/>
    <x v="1"/>
    <x v="2"/>
    <n v="2000000"/>
    <x v="1"/>
  </r>
  <r>
    <s v="APX1345"/>
    <s v="APX1345"/>
    <d v="2025-04-30T00:00:00"/>
    <d v="2025-04-30T00:00:00"/>
    <x v="0"/>
    <s v="2025"/>
    <n v="4"/>
    <s v="Q-2"/>
    <x v="5"/>
    <x v="0"/>
    <n v="12"/>
    <n v="850000"/>
    <n v="3"/>
    <x v="3"/>
    <x v="2"/>
    <x v="2"/>
    <n v="10200000"/>
    <x v="0"/>
  </r>
  <r>
    <s v="APX1417"/>
    <s v="APX1417"/>
    <d v="2025-03-24T00:00:00"/>
    <d v="2025-03-24T00:00:00"/>
    <x v="1"/>
    <s v="2025"/>
    <n v="3"/>
    <s v="Q-1"/>
    <x v="5"/>
    <x v="1"/>
    <n v="2500"/>
    <n v="4500"/>
    <n v="3"/>
    <x v="0"/>
    <x v="1"/>
    <x v="1"/>
    <n v="11250000"/>
    <x v="0"/>
  </r>
  <r>
    <s v="APX1236"/>
    <s v="APX1236"/>
    <d v="2025-11-21T00:00:00"/>
    <d v="2025-11-21T00:00:00"/>
    <x v="6"/>
    <s v="2025"/>
    <n v="11"/>
    <s v="Q-4"/>
    <x v="0"/>
    <x v="2"/>
    <n v="30"/>
    <n v="850000"/>
    <n v="95"/>
    <x v="4"/>
    <x v="1"/>
    <x v="3"/>
    <n v="25500000"/>
    <x v="1"/>
  </r>
  <r>
    <s v="APX1225"/>
    <s v="APX1225"/>
    <d v="2025-02-05T00:00:00"/>
    <d v="2025-02-05T00:00:00"/>
    <x v="10"/>
    <s v="2025"/>
    <n v="2"/>
    <s v="Q-1"/>
    <x v="2"/>
    <x v="4"/>
    <n v="29"/>
    <n v="850000"/>
    <n v="3"/>
    <x v="1"/>
    <x v="1"/>
    <x v="0"/>
    <n v="24650000"/>
    <x v="0"/>
  </r>
  <r>
    <s v="APX1335"/>
    <s v="APX1335"/>
    <d v="2025-09-18T00:00:00"/>
    <d v="2025-09-18T00:00:00"/>
    <x v="11"/>
    <s v="2025"/>
    <n v="9"/>
    <s v="Q-4"/>
    <x v="5"/>
    <x v="1"/>
    <n v="12"/>
    <n v="6500"/>
    <n v="95"/>
    <x v="4"/>
    <x v="1"/>
    <x v="0"/>
    <n v="78000"/>
    <x v="1"/>
  </r>
  <r>
    <s v="APX1132"/>
    <s v="APX1132"/>
    <d v="2025-03-02T00:00:00"/>
    <d v="2025-03-02T00:00:00"/>
    <x v="1"/>
    <s v="2025"/>
    <n v="3"/>
    <s v="Q-1"/>
    <x v="0"/>
    <x v="0"/>
    <n v="75"/>
    <n v="4500"/>
    <n v="95"/>
    <x v="3"/>
    <x v="1"/>
    <x v="1"/>
    <n v="337500"/>
    <x v="1"/>
  </r>
  <r>
    <s v="APX1004"/>
    <s v="APX1004"/>
    <s v="Mar 20 2025"/>
    <d v="2025-03-20T00:00:00"/>
    <x v="1"/>
    <s v="2025"/>
    <n v="3"/>
    <s v="Q-1"/>
    <x v="3"/>
    <x v="0"/>
    <n v="30"/>
    <n v="6500"/>
    <n v="95"/>
    <x v="0"/>
    <x v="1"/>
    <x v="0"/>
    <n v="195000"/>
    <x v="1"/>
  </r>
  <r>
    <s v="APX1160"/>
    <s v="APX1160"/>
    <s v="Feb 03 2025"/>
    <d v="2025-02-03T00:00:00"/>
    <x v="10"/>
    <s v="2025"/>
    <n v="2"/>
    <s v="Q-1"/>
    <x v="3"/>
    <x v="4"/>
    <n v="2500"/>
    <n v="26653"/>
    <n v="11"/>
    <x v="3"/>
    <x v="0"/>
    <x v="2"/>
    <n v="66632500"/>
    <x v="1"/>
  </r>
  <r>
    <s v="APX1256"/>
    <s v="APX1256"/>
    <s v="May 27 2025"/>
    <d v="2025-05-27T00:00:00"/>
    <x v="3"/>
    <s v="2025"/>
    <n v="5"/>
    <s v="Q-2"/>
    <x v="3"/>
    <x v="0"/>
    <n v="12"/>
    <n v="26731"/>
    <n v="4"/>
    <x v="3"/>
    <x v="1"/>
    <x v="1"/>
    <n v="320772"/>
    <x v="2"/>
  </r>
  <r>
    <s v="APX1362"/>
    <s v="APX1362"/>
    <d v="2025-07-01T00:00:00"/>
    <d v="2025-07-01T00:00:00"/>
    <x v="9"/>
    <s v="2025"/>
    <n v="7"/>
    <s v="Q-3"/>
    <x v="3"/>
    <x v="4"/>
    <n v="30"/>
    <n v="46467"/>
    <n v="3"/>
    <x v="4"/>
    <x v="1"/>
    <x v="1"/>
    <n v="1394010"/>
    <x v="0"/>
  </r>
  <r>
    <s v="APX1213"/>
    <s v="APX1213"/>
    <d v="2025-10-11T00:00:00"/>
    <d v="2025-10-11T00:00:00"/>
    <x v="4"/>
    <s v="2025"/>
    <n v="10"/>
    <s v="Q-4"/>
    <x v="3"/>
    <x v="4"/>
    <n v="136"/>
    <n v="4500"/>
    <n v="3"/>
    <x v="3"/>
    <x v="0"/>
    <x v="0"/>
    <n v="612000"/>
    <x v="0"/>
  </r>
  <r>
    <s v="APX1214"/>
    <s v="APX1214"/>
    <d v="2025-05-04T00:00:00"/>
    <d v="2025-05-04T00:00:00"/>
    <x v="3"/>
    <s v="2025"/>
    <n v="5"/>
    <s v="Q-2"/>
    <x v="0"/>
    <x v="1"/>
    <n v="42"/>
    <n v="6500"/>
    <n v="95"/>
    <x v="3"/>
    <x v="1"/>
    <x v="2"/>
    <n v="273000"/>
    <x v="1"/>
  </r>
  <r>
    <s v="APX1210"/>
    <s v="APX1210"/>
    <d v="2025-02-02T00:00:00"/>
    <d v="2025-02-02T00:00:00"/>
    <x v="10"/>
    <s v="2025"/>
    <n v="2"/>
    <s v="Q-1"/>
    <x v="0"/>
    <x v="1"/>
    <n v="30"/>
    <n v="850000"/>
    <n v="95"/>
    <x v="3"/>
    <x v="2"/>
    <x v="1"/>
    <n v="25500000"/>
    <x v="1"/>
  </r>
  <r>
    <s v="APX1198"/>
    <s v="APX1198"/>
    <d v="2025-04-19T00:00:00"/>
    <d v="2025-04-19T00:00:00"/>
    <x v="0"/>
    <s v="2025"/>
    <n v="4"/>
    <s v="Q-2"/>
    <x v="2"/>
    <x v="1"/>
    <n v="2500"/>
    <n v="850000"/>
    <n v="3"/>
    <x v="3"/>
    <x v="2"/>
    <x v="1"/>
    <n v="2125000000"/>
    <x v="0"/>
  </r>
  <r>
    <s v="APX1348"/>
    <s v="APX1348"/>
    <d v="2025-10-07T00:00:00"/>
    <d v="2025-10-07T00:00:00"/>
    <x v="4"/>
    <s v="2025"/>
    <n v="10"/>
    <s v="Q-4"/>
    <x v="2"/>
    <x v="5"/>
    <n v="89"/>
    <n v="4500"/>
    <n v="13"/>
    <x v="0"/>
    <x v="1"/>
    <x v="1"/>
    <n v="400500"/>
    <x v="1"/>
  </r>
  <r>
    <s v="APX1148"/>
    <s v="APX1148"/>
    <d v="2025-10-06T00:00:00"/>
    <d v="2025-10-06T00:00:00"/>
    <x v="4"/>
    <s v="2025"/>
    <n v="10"/>
    <s v="Q-4"/>
    <x v="5"/>
    <x v="1"/>
    <n v="111"/>
    <n v="6500"/>
    <n v="3"/>
    <x v="3"/>
    <x v="1"/>
    <x v="1"/>
    <n v="721500"/>
    <x v="0"/>
  </r>
  <r>
    <s v="APX1199"/>
    <s v="APX1199"/>
    <d v="2025-12-29T00:00:00"/>
    <d v="2025-12-29T00:00:00"/>
    <x v="5"/>
    <s v="2025"/>
    <n v="12"/>
    <s v="Q-4"/>
    <x v="3"/>
    <x v="2"/>
    <n v="30"/>
    <n v="44502"/>
    <n v="95"/>
    <x v="3"/>
    <x v="2"/>
    <x v="1"/>
    <n v="1335060"/>
    <x v="1"/>
  </r>
  <r>
    <s v="APX1092"/>
    <s v="APX1092"/>
    <d v="2025-07-25T00:00:00"/>
    <d v="2025-07-25T00:00:00"/>
    <x v="9"/>
    <s v="2025"/>
    <n v="7"/>
    <s v="Q-3"/>
    <x v="3"/>
    <x v="3"/>
    <n v="30"/>
    <n v="6500"/>
    <n v="9"/>
    <x v="3"/>
    <x v="1"/>
    <x v="1"/>
    <n v="195000"/>
    <x v="1"/>
  </r>
  <r>
    <s v="APX1238"/>
    <s v="APX1238"/>
    <d v="2025-04-27T00:00:00"/>
    <d v="2025-04-27T00:00:00"/>
    <x v="0"/>
    <s v="2025"/>
    <n v="4"/>
    <s v="Q-2"/>
    <x v="3"/>
    <x v="4"/>
    <n v="30"/>
    <n v="6500"/>
    <n v="95"/>
    <x v="1"/>
    <x v="1"/>
    <x v="1"/>
    <n v="195000"/>
    <x v="1"/>
  </r>
  <r>
    <s v="APX1085"/>
    <s v="APX1085"/>
    <s v="Nov 11 2025"/>
    <d v="2025-11-11T00:00:00"/>
    <x v="6"/>
    <s v="2025"/>
    <n v="11"/>
    <s v="Q-4"/>
    <x v="0"/>
    <x v="3"/>
    <n v="12"/>
    <n v="1282"/>
    <n v="3"/>
    <x v="3"/>
    <x v="1"/>
    <x v="1"/>
    <n v="15384"/>
    <x v="0"/>
  </r>
  <r>
    <s v="APX1107"/>
    <s v="APX1107"/>
    <d v="2025-09-10T00:00:00"/>
    <d v="2025-09-10T00:00:00"/>
    <x v="11"/>
    <s v="2025"/>
    <n v="9"/>
    <s v="Q-4"/>
    <x v="1"/>
    <x v="5"/>
    <n v="107"/>
    <n v="4500"/>
    <n v="3"/>
    <x v="1"/>
    <x v="1"/>
    <x v="1"/>
    <n v="481500"/>
    <x v="0"/>
  </r>
  <r>
    <s v="APX1148"/>
    <s v="APX1148"/>
    <d v="2025-12-26T00:00:00"/>
    <d v="2025-12-26T00:00:00"/>
    <x v="5"/>
    <s v="2025"/>
    <n v="12"/>
    <s v="Q-4"/>
    <x v="1"/>
    <x v="5"/>
    <n v="30"/>
    <n v="6500"/>
    <n v="3"/>
    <x v="3"/>
    <x v="1"/>
    <x v="0"/>
    <n v="195000"/>
    <x v="0"/>
  </r>
  <r>
    <s v="APX1415"/>
    <s v="APX1415"/>
    <d v="2025-10-13T00:00:00"/>
    <d v="2025-10-13T00:00:00"/>
    <x v="4"/>
    <s v="2025"/>
    <n v="10"/>
    <s v="Q-4"/>
    <x v="1"/>
    <x v="0"/>
    <n v="164"/>
    <n v="6500"/>
    <n v="95"/>
    <x v="2"/>
    <x v="1"/>
    <x v="0"/>
    <n v="1066000"/>
    <x v="1"/>
  </r>
  <r>
    <s v="APX1383"/>
    <s v="APX1383"/>
    <d v="2025-09-29T00:00:00"/>
    <d v="2025-09-29T00:00:00"/>
    <x v="11"/>
    <s v="2025"/>
    <n v="9"/>
    <s v="Q-4"/>
    <x v="2"/>
    <x v="3"/>
    <n v="30"/>
    <n v="36837"/>
    <n v="3"/>
    <x v="1"/>
    <x v="0"/>
    <x v="2"/>
    <n v="1105110"/>
    <x v="0"/>
  </r>
  <r>
    <s v="APX1146"/>
    <s v="APX1146"/>
    <s v="Mar 08 2025"/>
    <d v="2025-03-08T00:00:00"/>
    <x v="1"/>
    <s v="2025"/>
    <n v="3"/>
    <s v="Q-1"/>
    <x v="3"/>
    <x v="0"/>
    <n v="12"/>
    <n v="4500"/>
    <n v="95"/>
    <x v="3"/>
    <x v="0"/>
    <x v="3"/>
    <n v="54000"/>
    <x v="1"/>
  </r>
  <r>
    <s v="APX1014"/>
    <s v="APX1014"/>
    <d v="2025-10-07T00:00:00"/>
    <d v="2025-10-07T00:00:00"/>
    <x v="4"/>
    <s v="2025"/>
    <n v="10"/>
    <s v="Q-4"/>
    <x v="5"/>
    <x v="2"/>
    <n v="12"/>
    <n v="800"/>
    <n v="9"/>
    <x v="1"/>
    <x v="1"/>
    <x v="1"/>
    <n v="9600"/>
    <x v="1"/>
  </r>
  <r>
    <s v="APX1169"/>
    <s v="APX1169"/>
    <d v="2025-11-08T00:00:00"/>
    <d v="2025-11-08T00:00:00"/>
    <x v="6"/>
    <s v="2025"/>
    <n v="11"/>
    <s v="Q-4"/>
    <x v="5"/>
    <x v="0"/>
    <n v="30"/>
    <n v="29943"/>
    <n v="95"/>
    <x v="3"/>
    <x v="0"/>
    <x v="1"/>
    <n v="898290"/>
    <x v="1"/>
  </r>
  <r>
    <s v="APX1001"/>
    <s v="APX1001"/>
    <s v="Mar 09 2025"/>
    <d v="2025-03-09T00:00:00"/>
    <x v="1"/>
    <s v="2025"/>
    <n v="3"/>
    <s v="Q-1"/>
    <x v="0"/>
    <x v="5"/>
    <n v="12"/>
    <n v="4500"/>
    <n v="5"/>
    <x v="3"/>
    <x v="2"/>
    <x v="2"/>
    <n v="54000"/>
    <x v="2"/>
  </r>
  <r>
    <s v="APX1298"/>
    <s v="APX1298"/>
    <d v="2025-06-01T00:00:00"/>
    <d v="2025-06-01T00:00:00"/>
    <x v="2"/>
    <s v="2025"/>
    <n v="6"/>
    <s v="Q-2"/>
    <x v="4"/>
    <x v="4"/>
    <n v="12"/>
    <n v="850000"/>
    <n v="95"/>
    <x v="3"/>
    <x v="1"/>
    <x v="3"/>
    <n v="10200000"/>
    <x v="1"/>
  </r>
  <r>
    <s v="APX1419"/>
    <s v="APX1419"/>
    <d v="2025-05-04T00:00:00"/>
    <d v="2025-05-04T00:00:00"/>
    <x v="3"/>
    <s v="2025"/>
    <n v="5"/>
    <s v="Q-2"/>
    <x v="5"/>
    <x v="4"/>
    <n v="188"/>
    <n v="850000"/>
    <n v="95"/>
    <x v="1"/>
    <x v="1"/>
    <x v="3"/>
    <n v="159800000"/>
    <x v="1"/>
  </r>
  <r>
    <s v="APX1226"/>
    <s v="APX1226"/>
    <d v="2025-04-30T00:00:00"/>
    <d v="2025-04-30T00:00:00"/>
    <x v="0"/>
    <s v="2025"/>
    <n v="4"/>
    <s v="Q-2"/>
    <x v="2"/>
    <x v="0"/>
    <n v="2500"/>
    <n v="850000"/>
    <n v="95"/>
    <x v="3"/>
    <x v="1"/>
    <x v="1"/>
    <n v="2125000000"/>
    <x v="1"/>
  </r>
  <r>
    <s v="APX1231"/>
    <s v="APX1231"/>
    <d v="2025-09-17T00:00:00"/>
    <d v="2025-09-17T00:00:00"/>
    <x v="11"/>
    <s v="2025"/>
    <n v="9"/>
    <s v="Q-4"/>
    <x v="2"/>
    <x v="4"/>
    <n v="26"/>
    <n v="6500"/>
    <n v="10"/>
    <x v="3"/>
    <x v="0"/>
    <x v="1"/>
    <n v="169000"/>
    <x v="1"/>
  </r>
  <r>
    <s v="APX1130"/>
    <s v="APX1130"/>
    <d v="2025-11-03T00:00:00"/>
    <d v="2025-11-03T00:00:00"/>
    <x v="6"/>
    <s v="2025"/>
    <n v="11"/>
    <s v="Q-4"/>
    <x v="2"/>
    <x v="1"/>
    <n v="41"/>
    <n v="850000"/>
    <n v="13"/>
    <x v="1"/>
    <x v="1"/>
    <x v="1"/>
    <n v="34850000"/>
    <x v="1"/>
  </r>
  <r>
    <s v="APX1333"/>
    <s v="APX1333"/>
    <d v="2025-07-08T00:00:00"/>
    <d v="2025-07-08T00:00:00"/>
    <x v="9"/>
    <s v="2025"/>
    <n v="7"/>
    <s v="Q-3"/>
    <x v="2"/>
    <x v="2"/>
    <n v="126"/>
    <n v="850000"/>
    <n v="13"/>
    <x v="3"/>
    <x v="0"/>
    <x v="1"/>
    <n v="107100000"/>
    <x v="1"/>
  </r>
  <r>
    <s v="APX1195"/>
    <s v="APX1195"/>
    <d v="2025-04-20T00:00:00"/>
    <d v="2025-04-20T00:00:00"/>
    <x v="0"/>
    <s v="2025"/>
    <n v="4"/>
    <s v="Q-2"/>
    <x v="4"/>
    <x v="5"/>
    <n v="2500"/>
    <n v="4500"/>
    <n v="95"/>
    <x v="1"/>
    <x v="2"/>
    <x v="2"/>
    <n v="11250000"/>
    <x v="1"/>
  </r>
  <r>
    <s v="APX1185"/>
    <s v="APX1185"/>
    <s v="Aug 01 2025"/>
    <d v="2025-08-01T00:00:00"/>
    <x v="7"/>
    <s v="2025"/>
    <n v="8"/>
    <s v="Q-3"/>
    <x v="3"/>
    <x v="3"/>
    <n v="30"/>
    <n v="16891"/>
    <n v="9"/>
    <x v="2"/>
    <x v="1"/>
    <x v="2"/>
    <n v="506730"/>
    <x v="1"/>
  </r>
  <r>
    <s v="APX1367"/>
    <s v="APX1367"/>
    <d v="2025-12-06T00:00:00"/>
    <d v="2025-12-06T00:00:00"/>
    <x v="5"/>
    <s v="2025"/>
    <n v="12"/>
    <s v="Q-4"/>
    <x v="2"/>
    <x v="0"/>
    <n v="12"/>
    <n v="27319"/>
    <n v="3"/>
    <x v="4"/>
    <x v="2"/>
    <x v="1"/>
    <n v="327828"/>
    <x v="0"/>
  </r>
  <r>
    <s v="APX1181"/>
    <s v="APX1181"/>
    <d v="2025-02-21T00:00:00"/>
    <d v="2025-02-21T00:00:00"/>
    <x v="10"/>
    <s v="2025"/>
    <n v="2"/>
    <s v="Q-1"/>
    <x v="3"/>
    <x v="4"/>
    <n v="30"/>
    <n v="6500"/>
    <n v="2"/>
    <x v="3"/>
    <x v="1"/>
    <x v="1"/>
    <n v="195000"/>
    <x v="0"/>
  </r>
  <r>
    <s v="APX1216"/>
    <s v="APX1216"/>
    <d v="2025-06-15T00:00:00"/>
    <d v="2025-06-15T00:00:00"/>
    <x v="2"/>
    <s v="2025"/>
    <n v="6"/>
    <s v="Q-2"/>
    <x v="3"/>
    <x v="3"/>
    <n v="54"/>
    <n v="850000"/>
    <n v="11"/>
    <x v="2"/>
    <x v="0"/>
    <x v="1"/>
    <n v="45900000"/>
    <x v="1"/>
  </r>
  <r>
    <s v="APX1403"/>
    <s v="APX1403"/>
    <d v="2025-05-25T00:00:00"/>
    <d v="2025-05-25T00:00:00"/>
    <x v="3"/>
    <s v="2025"/>
    <n v="5"/>
    <s v="Q-2"/>
    <x v="1"/>
    <x v="2"/>
    <n v="2500"/>
    <n v="6500"/>
    <n v="3"/>
    <x v="3"/>
    <x v="1"/>
    <x v="1"/>
    <n v="16250000"/>
    <x v="0"/>
  </r>
  <r>
    <s v="APX1417"/>
    <s v="APX1417"/>
    <d v="2025-03-13T00:00:00"/>
    <d v="2025-03-13T00:00:00"/>
    <x v="1"/>
    <s v="2025"/>
    <n v="3"/>
    <s v="Q-1"/>
    <x v="4"/>
    <x v="2"/>
    <n v="12"/>
    <n v="800"/>
    <n v="13"/>
    <x v="3"/>
    <x v="1"/>
    <x v="1"/>
    <n v="9600"/>
    <x v="1"/>
  </r>
  <r>
    <s v="APX1004"/>
    <s v="APX1004"/>
    <s v="Jan 30 2025"/>
    <d v="2025-01-30T00:00:00"/>
    <x v="8"/>
    <s v="2025"/>
    <n v="1"/>
    <s v="Q-1"/>
    <x v="0"/>
    <x v="0"/>
    <n v="2500"/>
    <n v="800"/>
    <n v="2"/>
    <x v="3"/>
    <x v="2"/>
    <x v="3"/>
    <n v="2000000"/>
    <x v="0"/>
  </r>
  <r>
    <s v="APX1394"/>
    <s v="APX1394"/>
    <d v="2025-03-12T00:00:00"/>
    <d v="2025-03-12T00:00:00"/>
    <x v="1"/>
    <s v="2025"/>
    <n v="3"/>
    <s v="Q-1"/>
    <x v="1"/>
    <x v="0"/>
    <n v="3"/>
    <n v="800"/>
    <n v="3"/>
    <x v="1"/>
    <x v="1"/>
    <x v="1"/>
    <n v="2400"/>
    <x v="0"/>
  </r>
  <r>
    <s v="APX1172"/>
    <s v="APX1172"/>
    <d v="2025-04-22T00:00:00"/>
    <d v="2025-04-22T00:00:00"/>
    <x v="0"/>
    <s v="2025"/>
    <n v="4"/>
    <s v="Q-2"/>
    <x v="0"/>
    <x v="0"/>
    <n v="2500"/>
    <n v="6500"/>
    <n v="3"/>
    <x v="3"/>
    <x v="1"/>
    <x v="0"/>
    <n v="16250000"/>
    <x v="0"/>
  </r>
  <r>
    <s v="APX1026"/>
    <s v="APX1026"/>
    <d v="2025-05-28T00:00:00"/>
    <d v="2025-05-28T00:00:00"/>
    <x v="3"/>
    <s v="2025"/>
    <n v="5"/>
    <s v="Q-2"/>
    <x v="1"/>
    <x v="1"/>
    <n v="30"/>
    <n v="800"/>
    <n v="3"/>
    <x v="3"/>
    <x v="1"/>
    <x v="1"/>
    <n v="24000"/>
    <x v="0"/>
  </r>
  <r>
    <s v="APX1069"/>
    <s v="APX1069"/>
    <s v="Mar 07 2025"/>
    <d v="2025-03-07T00:00:00"/>
    <x v="1"/>
    <s v="2025"/>
    <n v="3"/>
    <s v="Q-1"/>
    <x v="5"/>
    <x v="0"/>
    <n v="30"/>
    <n v="49555"/>
    <n v="95"/>
    <x v="3"/>
    <x v="0"/>
    <x v="1"/>
    <n v="1486650"/>
    <x v="1"/>
  </r>
  <r>
    <s v="APX1380"/>
    <s v="APX1380"/>
    <d v="2025-03-01T00:00:00"/>
    <d v="2025-03-01T00:00:00"/>
    <x v="1"/>
    <s v="2025"/>
    <n v="3"/>
    <s v="Q-1"/>
    <x v="4"/>
    <x v="3"/>
    <n v="2500"/>
    <n v="10624"/>
    <n v="3"/>
    <x v="1"/>
    <x v="1"/>
    <x v="3"/>
    <n v="26560000"/>
    <x v="0"/>
  </r>
  <r>
    <n v="1083"/>
    <s v="APX1083"/>
    <d v="2025-05-29T00:00:00"/>
    <d v="2025-05-29T00:00:00"/>
    <x v="3"/>
    <s v="2025"/>
    <n v="5"/>
    <s v="Q-2"/>
    <x v="3"/>
    <x v="1"/>
    <n v="2500"/>
    <n v="800"/>
    <n v="12"/>
    <x v="2"/>
    <x v="0"/>
    <x v="1"/>
    <n v="2000000"/>
    <x v="1"/>
  </r>
  <r>
    <s v="APX1382"/>
    <s v="APX1382"/>
    <d v="2025-11-26T00:00:00"/>
    <d v="2025-11-26T00:00:00"/>
    <x v="6"/>
    <s v="2025"/>
    <n v="11"/>
    <s v="Q-4"/>
    <x v="4"/>
    <x v="3"/>
    <n v="30"/>
    <n v="850000"/>
    <n v="95"/>
    <x v="1"/>
    <x v="2"/>
    <x v="1"/>
    <n v="25500000"/>
    <x v="1"/>
  </r>
  <r>
    <s v="APX1428"/>
    <s v="APX1428"/>
    <d v="2025-11-28T00:00:00"/>
    <d v="2025-11-28T00:00:00"/>
    <x v="6"/>
    <s v="2025"/>
    <n v="11"/>
    <s v="Q-4"/>
    <x v="3"/>
    <x v="0"/>
    <n v="30"/>
    <n v="6500"/>
    <n v="12"/>
    <x v="3"/>
    <x v="0"/>
    <x v="3"/>
    <n v="195000"/>
    <x v="1"/>
  </r>
  <r>
    <s v="APX1100"/>
    <s v="APX1100"/>
    <d v="2025-10-18T00:00:00"/>
    <d v="2025-10-18T00:00:00"/>
    <x v="4"/>
    <s v="2025"/>
    <n v="10"/>
    <s v="Q-4"/>
    <x v="0"/>
    <x v="0"/>
    <n v="179"/>
    <n v="6500"/>
    <n v="95"/>
    <x v="3"/>
    <x v="1"/>
    <x v="2"/>
    <n v="1163500"/>
    <x v="1"/>
  </r>
  <r>
    <s v="APX1075"/>
    <s v="APX1075"/>
    <d v="2025-05-21T00:00:00"/>
    <d v="2025-05-21T00:00:00"/>
    <x v="3"/>
    <s v="2025"/>
    <n v="5"/>
    <s v="Q-2"/>
    <x v="3"/>
    <x v="3"/>
    <n v="12"/>
    <n v="6500"/>
    <n v="95"/>
    <x v="3"/>
    <x v="2"/>
    <x v="3"/>
    <n v="78000"/>
    <x v="1"/>
  </r>
  <r>
    <s v="APX1237"/>
    <s v="APX1237"/>
    <s v="Nov 19 2025"/>
    <d v="2025-11-19T00:00:00"/>
    <x v="6"/>
    <s v="2025"/>
    <n v="11"/>
    <s v="Q-4"/>
    <x v="4"/>
    <x v="5"/>
    <n v="30"/>
    <n v="9235"/>
    <n v="3"/>
    <x v="4"/>
    <x v="1"/>
    <x v="1"/>
    <n v="277050"/>
    <x v="0"/>
  </r>
  <r>
    <s v="APX1213"/>
    <s v="APX1213"/>
    <d v="2025-10-30T00:00:00"/>
    <d v="2025-10-30T00:00:00"/>
    <x v="4"/>
    <s v="2025"/>
    <n v="10"/>
    <s v="Q-4"/>
    <x v="0"/>
    <x v="4"/>
    <n v="30"/>
    <n v="4500"/>
    <n v="95"/>
    <x v="3"/>
    <x v="0"/>
    <x v="3"/>
    <n v="135000"/>
    <x v="1"/>
  </r>
  <r>
    <s v="APX1017"/>
    <s v="APX1017"/>
    <s v="Aug 27 2025"/>
    <d v="2025-08-27T00:00:00"/>
    <x v="7"/>
    <s v="2025"/>
    <n v="8"/>
    <s v="Q-3"/>
    <x v="3"/>
    <x v="0"/>
    <n v="2500"/>
    <n v="850000"/>
    <n v="10"/>
    <x v="3"/>
    <x v="0"/>
    <x v="1"/>
    <n v="2125000000"/>
    <x v="1"/>
  </r>
  <r>
    <s v="APX1358"/>
    <s v="APX1358"/>
    <d v="2025-04-21T00:00:00"/>
    <d v="2025-04-21T00:00:00"/>
    <x v="0"/>
    <s v="2025"/>
    <n v="4"/>
    <s v="Q-2"/>
    <x v="3"/>
    <x v="4"/>
    <n v="30"/>
    <n v="800"/>
    <n v="95"/>
    <x v="3"/>
    <x v="1"/>
    <x v="0"/>
    <n v="24000"/>
    <x v="1"/>
  </r>
  <r>
    <n v="1176"/>
    <s v="APX1176"/>
    <d v="2025-07-20T00:00:00"/>
    <d v="2025-07-20T00:00:00"/>
    <x v="9"/>
    <s v="2025"/>
    <n v="7"/>
    <s v="Q-3"/>
    <x v="3"/>
    <x v="3"/>
    <n v="2500"/>
    <n v="850000"/>
    <n v="95"/>
    <x v="1"/>
    <x v="0"/>
    <x v="1"/>
    <n v="2125000000"/>
    <x v="1"/>
  </r>
  <r>
    <s v="APX1239"/>
    <s v="APX1239"/>
    <d v="2025-11-24T00:00:00"/>
    <d v="2025-11-24T00:00:00"/>
    <x v="6"/>
    <s v="2025"/>
    <n v="11"/>
    <s v="Q-4"/>
    <x v="3"/>
    <x v="1"/>
    <n v="30"/>
    <n v="4500"/>
    <n v="95"/>
    <x v="3"/>
    <x v="2"/>
    <x v="1"/>
    <n v="135000"/>
    <x v="1"/>
  </r>
  <r>
    <s v="APX1126"/>
    <s v="APX1126"/>
    <d v="2025-10-25T00:00:00"/>
    <d v="2025-10-25T00:00:00"/>
    <x v="4"/>
    <s v="2025"/>
    <n v="10"/>
    <s v="Q-4"/>
    <x v="2"/>
    <x v="2"/>
    <n v="12"/>
    <n v="6500"/>
    <n v="3"/>
    <x v="3"/>
    <x v="1"/>
    <x v="2"/>
    <n v="78000"/>
    <x v="0"/>
  </r>
  <r>
    <s v="APX1403"/>
    <s v="APX1403"/>
    <s v="Jul 22 2025"/>
    <d v="2025-07-22T00:00:00"/>
    <x v="9"/>
    <s v="2025"/>
    <n v="7"/>
    <s v="Q-3"/>
    <x v="3"/>
    <x v="0"/>
    <n v="2500"/>
    <n v="31423"/>
    <n v="1"/>
    <x v="0"/>
    <x v="0"/>
    <x v="0"/>
    <n v="78557500"/>
    <x v="0"/>
  </r>
  <r>
    <s v="APX1325"/>
    <s v="APX1325"/>
    <s v="Dec 18 2025"/>
    <d v="2025-12-18T00:00:00"/>
    <x v="5"/>
    <s v="2025"/>
    <n v="12"/>
    <s v="Q-4"/>
    <x v="3"/>
    <x v="1"/>
    <n v="2500"/>
    <n v="800"/>
    <n v="95"/>
    <x v="4"/>
    <x v="1"/>
    <x v="0"/>
    <n v="2000000"/>
    <x v="1"/>
  </r>
  <r>
    <s v="APX1106"/>
    <s v="APX1106"/>
    <s v="Feb 27 2025"/>
    <d v="2025-02-27T00:00:00"/>
    <x v="10"/>
    <s v="2025"/>
    <n v="2"/>
    <s v="Q-1"/>
    <x v="0"/>
    <x v="1"/>
    <n v="30"/>
    <n v="850000"/>
    <n v="3"/>
    <x v="1"/>
    <x v="0"/>
    <x v="1"/>
    <n v="25500000"/>
    <x v="0"/>
  </r>
  <r>
    <s v="APX1422"/>
    <s v="APX1422"/>
    <s v="Dec 24 2025"/>
    <d v="2025-12-24T00:00:00"/>
    <x v="5"/>
    <s v="2025"/>
    <n v="12"/>
    <s v="Q-4"/>
    <x v="0"/>
    <x v="4"/>
    <n v="30"/>
    <n v="4500"/>
    <n v="3"/>
    <x v="1"/>
    <x v="1"/>
    <x v="1"/>
    <n v="135000"/>
    <x v="0"/>
  </r>
  <r>
    <s v="APX1135"/>
    <s v="APX1135"/>
    <d v="2025-01-28T00:00:00"/>
    <d v="2025-01-28T00:00:00"/>
    <x v="8"/>
    <s v="2025"/>
    <n v="1"/>
    <s v="Q-1"/>
    <x v="4"/>
    <x v="2"/>
    <n v="11"/>
    <n v="4500"/>
    <n v="95"/>
    <x v="1"/>
    <x v="0"/>
    <x v="3"/>
    <n v="49500"/>
    <x v="1"/>
  </r>
  <r>
    <s v="APX1295"/>
    <s v="APX1295"/>
    <d v="2025-04-30T00:00:00"/>
    <d v="2025-04-30T00:00:00"/>
    <x v="0"/>
    <s v="2025"/>
    <n v="4"/>
    <s v="Q-2"/>
    <x v="0"/>
    <x v="5"/>
    <n v="12"/>
    <n v="4500"/>
    <n v="9"/>
    <x v="3"/>
    <x v="0"/>
    <x v="0"/>
    <n v="54000"/>
    <x v="1"/>
  </r>
  <r>
    <n v="1189"/>
    <s v="APX1189"/>
    <d v="2025-03-25T00:00:00"/>
    <d v="2025-03-25T00:00:00"/>
    <x v="1"/>
    <s v="2025"/>
    <n v="3"/>
    <s v="Q-1"/>
    <x v="3"/>
    <x v="0"/>
    <n v="12"/>
    <n v="4500"/>
    <n v="6"/>
    <x v="3"/>
    <x v="2"/>
    <x v="3"/>
    <n v="54000"/>
    <x v="2"/>
  </r>
  <r>
    <s v="APX1292"/>
    <s v="APX1292"/>
    <d v="2025-01-31T00:00:00"/>
    <d v="2025-01-31T00:00:00"/>
    <x v="8"/>
    <s v="2025"/>
    <n v="1"/>
    <s v="Q-1"/>
    <x v="4"/>
    <x v="0"/>
    <n v="2500"/>
    <n v="800"/>
    <n v="2"/>
    <x v="3"/>
    <x v="1"/>
    <x v="1"/>
    <n v="2000000"/>
    <x v="0"/>
  </r>
  <r>
    <s v="APX1204"/>
    <s v="APX1204"/>
    <s v="Jun 27 2025"/>
    <d v="2025-06-27T00:00:00"/>
    <x v="2"/>
    <s v="2025"/>
    <n v="6"/>
    <s v="Q-2"/>
    <x v="4"/>
    <x v="3"/>
    <n v="10"/>
    <n v="850000"/>
    <n v="14"/>
    <x v="1"/>
    <x v="1"/>
    <x v="1"/>
    <n v="8500000"/>
    <x v="1"/>
  </r>
  <r>
    <s v="APX1273"/>
    <s v="APX1273"/>
    <d v="2025-07-03T00:00:00"/>
    <d v="2025-07-03T00:00:00"/>
    <x v="9"/>
    <s v="2025"/>
    <n v="7"/>
    <s v="Q-3"/>
    <x v="4"/>
    <x v="0"/>
    <n v="18"/>
    <n v="29411"/>
    <n v="6"/>
    <x v="3"/>
    <x v="1"/>
    <x v="3"/>
    <n v="529398"/>
    <x v="2"/>
  </r>
  <r>
    <s v="APX1191"/>
    <s v="APX1191"/>
    <d v="2025-01-25T00:00:00"/>
    <d v="2025-01-25T00:00:00"/>
    <x v="8"/>
    <s v="2025"/>
    <n v="1"/>
    <s v="Q-1"/>
    <x v="2"/>
    <x v="4"/>
    <n v="2500"/>
    <n v="4500"/>
    <n v="13"/>
    <x v="0"/>
    <x v="1"/>
    <x v="1"/>
    <n v="11250000"/>
    <x v="1"/>
  </r>
  <r>
    <s v="APX1225"/>
    <s v="APX1225"/>
    <d v="2025-03-31T00:00:00"/>
    <d v="2025-03-31T00:00:00"/>
    <x v="1"/>
    <s v="2025"/>
    <n v="3"/>
    <s v="Q-1"/>
    <x v="5"/>
    <x v="0"/>
    <n v="30"/>
    <n v="800"/>
    <n v="3"/>
    <x v="3"/>
    <x v="1"/>
    <x v="1"/>
    <n v="24000"/>
    <x v="0"/>
  </r>
  <r>
    <s v="APX1324"/>
    <s v="APX1324"/>
    <d v="2025-04-04T00:00:00"/>
    <d v="2025-04-04T00:00:00"/>
    <x v="0"/>
    <s v="2025"/>
    <n v="4"/>
    <s v="Q-2"/>
    <x v="5"/>
    <x v="3"/>
    <n v="30"/>
    <n v="46605"/>
    <n v="95"/>
    <x v="3"/>
    <x v="1"/>
    <x v="1"/>
    <n v="1398150"/>
    <x v="1"/>
  </r>
  <r>
    <s v="APX1066"/>
    <s v="APX1066"/>
    <d v="2025-12-16T00:00:00"/>
    <d v="2025-12-16T00:00:00"/>
    <x v="5"/>
    <s v="2025"/>
    <n v="12"/>
    <s v="Q-4"/>
    <x v="3"/>
    <x v="5"/>
    <n v="30"/>
    <n v="38968"/>
    <n v="5"/>
    <x v="3"/>
    <x v="1"/>
    <x v="2"/>
    <n v="1169040"/>
    <x v="2"/>
  </r>
  <r>
    <s v="APX1286"/>
    <s v="APX1286"/>
    <s v="Aug 11 2025"/>
    <d v="2025-08-11T00:00:00"/>
    <x v="7"/>
    <s v="2025"/>
    <n v="8"/>
    <s v="Q-3"/>
    <x v="3"/>
    <x v="2"/>
    <n v="30"/>
    <n v="6500"/>
    <n v="95"/>
    <x v="3"/>
    <x v="2"/>
    <x v="3"/>
    <n v="195000"/>
    <x v="1"/>
  </r>
  <r>
    <s v="APX1014"/>
    <s v="APX1014"/>
    <d v="2025-12-06T00:00:00"/>
    <d v="2025-12-06T00:00:00"/>
    <x v="5"/>
    <s v="2025"/>
    <n v="12"/>
    <s v="Q-4"/>
    <x v="1"/>
    <x v="0"/>
    <n v="2500"/>
    <n v="850000"/>
    <n v="5"/>
    <x v="3"/>
    <x v="1"/>
    <x v="0"/>
    <n v="2125000000"/>
    <x v="2"/>
  </r>
  <r>
    <s v="APX1414"/>
    <s v="APX1414"/>
    <s v="Feb 18 2025"/>
    <d v="2025-02-18T00:00:00"/>
    <x v="10"/>
    <s v="2025"/>
    <n v="2"/>
    <s v="Q-1"/>
    <x v="5"/>
    <x v="2"/>
    <n v="21"/>
    <n v="800"/>
    <n v="14"/>
    <x v="3"/>
    <x v="1"/>
    <x v="0"/>
    <n v="16800"/>
    <x v="1"/>
  </r>
  <r>
    <s v="APX1320"/>
    <s v="APX1320"/>
    <d v="2025-11-09T00:00:00"/>
    <d v="2025-11-09T00:00:00"/>
    <x v="6"/>
    <s v="2025"/>
    <n v="11"/>
    <s v="Q-4"/>
    <x v="0"/>
    <x v="2"/>
    <n v="30"/>
    <n v="4500"/>
    <n v="1"/>
    <x v="0"/>
    <x v="1"/>
    <x v="1"/>
    <n v="135000"/>
    <x v="0"/>
  </r>
  <r>
    <s v="APX1060"/>
    <s v="APX1060"/>
    <d v="2025-03-06T00:00:00"/>
    <d v="2025-03-06T00:00:00"/>
    <x v="1"/>
    <s v="2025"/>
    <n v="3"/>
    <s v="Q-1"/>
    <x v="3"/>
    <x v="4"/>
    <n v="12"/>
    <n v="6500"/>
    <n v="95"/>
    <x v="4"/>
    <x v="0"/>
    <x v="3"/>
    <n v="78000"/>
    <x v="1"/>
  </r>
  <r>
    <s v="APX1360"/>
    <s v="APX1360"/>
    <d v="2025-10-05T00:00:00"/>
    <d v="2025-10-05T00:00:00"/>
    <x v="4"/>
    <s v="2025"/>
    <n v="10"/>
    <s v="Q-4"/>
    <x v="3"/>
    <x v="0"/>
    <n v="2500"/>
    <n v="800"/>
    <n v="3"/>
    <x v="1"/>
    <x v="0"/>
    <x v="1"/>
    <n v="2000000"/>
    <x v="0"/>
  </r>
  <r>
    <s v="APX1099"/>
    <s v="APX1099"/>
    <d v="2025-12-07T00:00:00"/>
    <d v="2025-12-07T00:00:00"/>
    <x v="5"/>
    <s v="2025"/>
    <n v="12"/>
    <s v="Q-4"/>
    <x v="3"/>
    <x v="0"/>
    <n v="12"/>
    <n v="6500"/>
    <n v="95"/>
    <x v="1"/>
    <x v="2"/>
    <x v="1"/>
    <n v="78000"/>
    <x v="1"/>
  </r>
  <r>
    <s v="APX1231"/>
    <s v="APX1231"/>
    <d v="2025-09-11T00:00:00"/>
    <d v="2025-09-11T00:00:00"/>
    <x v="11"/>
    <s v="2025"/>
    <n v="9"/>
    <s v="Q-4"/>
    <x v="2"/>
    <x v="5"/>
    <n v="141"/>
    <n v="4500"/>
    <n v="3"/>
    <x v="1"/>
    <x v="1"/>
    <x v="1"/>
    <n v="634500"/>
    <x v="0"/>
  </r>
  <r>
    <s v="APX1077"/>
    <s v="APX1077"/>
    <d v="2025-11-29T00:00:00"/>
    <d v="2025-11-29T00:00:00"/>
    <x v="6"/>
    <s v="2025"/>
    <n v="11"/>
    <s v="Q-4"/>
    <x v="3"/>
    <x v="0"/>
    <n v="12"/>
    <n v="850000"/>
    <n v="13"/>
    <x v="1"/>
    <x v="1"/>
    <x v="1"/>
    <n v="10200000"/>
    <x v="1"/>
  </r>
  <r>
    <s v="APX1100"/>
    <s v="APX1100"/>
    <d v="2025-01-21T00:00:00"/>
    <d v="2025-01-21T00:00:00"/>
    <x v="8"/>
    <s v="2025"/>
    <n v="1"/>
    <s v="Q-1"/>
    <x v="3"/>
    <x v="4"/>
    <n v="2500"/>
    <n v="4500"/>
    <n v="95"/>
    <x v="0"/>
    <x v="1"/>
    <x v="1"/>
    <n v="11250000"/>
    <x v="1"/>
  </r>
  <r>
    <s v="APX1247"/>
    <s v="APX1247"/>
    <d v="2025-10-05T00:00:00"/>
    <d v="2025-10-05T00:00:00"/>
    <x v="4"/>
    <s v="2025"/>
    <n v="10"/>
    <s v="Q-4"/>
    <x v="0"/>
    <x v="4"/>
    <n v="7"/>
    <n v="6500"/>
    <n v="95"/>
    <x v="3"/>
    <x v="1"/>
    <x v="0"/>
    <n v="45500"/>
    <x v="1"/>
  </r>
  <r>
    <s v="APX1295"/>
    <s v="APX1295"/>
    <d v="2025-07-19T00:00:00"/>
    <d v="2025-07-19T00:00:00"/>
    <x v="9"/>
    <s v="2025"/>
    <n v="7"/>
    <s v="Q-3"/>
    <x v="4"/>
    <x v="5"/>
    <n v="2500"/>
    <n v="4500"/>
    <n v="11"/>
    <x v="4"/>
    <x v="1"/>
    <x v="3"/>
    <n v="11250000"/>
    <x v="1"/>
  </r>
  <r>
    <s v="APX1107"/>
    <s v="APX1107"/>
    <d v="2025-12-06T00:00:00"/>
    <d v="2025-12-06T00:00:00"/>
    <x v="5"/>
    <s v="2025"/>
    <n v="12"/>
    <s v="Q-4"/>
    <x v="3"/>
    <x v="0"/>
    <n v="2500"/>
    <n v="4500"/>
    <n v="3"/>
    <x v="1"/>
    <x v="1"/>
    <x v="1"/>
    <n v="11250000"/>
    <x v="0"/>
  </r>
  <r>
    <s v="APX1315"/>
    <s v="APX1315"/>
    <s v="Mar 30 2025"/>
    <d v="2025-03-30T00:00:00"/>
    <x v="1"/>
    <s v="2025"/>
    <n v="3"/>
    <s v="Q-1"/>
    <x v="3"/>
    <x v="4"/>
    <n v="2500"/>
    <n v="6500"/>
    <n v="3"/>
    <x v="3"/>
    <x v="1"/>
    <x v="2"/>
    <n v="16250000"/>
    <x v="0"/>
  </r>
  <r>
    <s v="APX1304"/>
    <s v="APX1304"/>
    <s v="Sep 26 2025"/>
    <d v="2025-09-26T00:00:00"/>
    <x v="11"/>
    <s v="2025"/>
    <n v="9"/>
    <s v="Q-4"/>
    <x v="2"/>
    <x v="5"/>
    <n v="2500"/>
    <n v="800"/>
    <n v="95"/>
    <x v="3"/>
    <x v="1"/>
    <x v="2"/>
    <n v="2000000"/>
    <x v="1"/>
  </r>
  <r>
    <s v="APX1295"/>
    <s v="APX1295"/>
    <d v="2025-07-07T00:00:00"/>
    <d v="2025-07-07T00:00:00"/>
    <x v="9"/>
    <s v="2025"/>
    <n v="7"/>
    <s v="Q-3"/>
    <x v="3"/>
    <x v="0"/>
    <n v="2500"/>
    <n v="4500"/>
    <n v="95"/>
    <x v="1"/>
    <x v="2"/>
    <x v="1"/>
    <n v="11250000"/>
    <x v="1"/>
  </r>
  <r>
    <s v="APX1319"/>
    <s v="APX1319"/>
    <d v="2025-07-02T00:00:00"/>
    <d v="2025-07-02T00:00:00"/>
    <x v="9"/>
    <s v="2025"/>
    <n v="7"/>
    <s v="Q-3"/>
    <x v="2"/>
    <x v="4"/>
    <n v="12"/>
    <n v="800"/>
    <n v="9"/>
    <x v="2"/>
    <x v="1"/>
    <x v="1"/>
    <n v="9600"/>
    <x v="1"/>
  </r>
  <r>
    <s v="APX1371"/>
    <s v="APX1371"/>
    <d v="2025-11-19T00:00:00"/>
    <d v="2025-11-19T00:00:00"/>
    <x v="6"/>
    <s v="2025"/>
    <n v="11"/>
    <s v="Q-4"/>
    <x v="2"/>
    <x v="0"/>
    <n v="30"/>
    <n v="6500"/>
    <n v="3"/>
    <x v="1"/>
    <x v="1"/>
    <x v="1"/>
    <n v="195000"/>
    <x v="0"/>
  </r>
  <r>
    <s v="APX1000"/>
    <s v="APX1000"/>
    <d v="2025-12-12T00:00:00"/>
    <d v="2025-12-12T00:00:00"/>
    <x v="5"/>
    <s v="2025"/>
    <n v="12"/>
    <s v="Q-4"/>
    <x v="3"/>
    <x v="5"/>
    <n v="2500"/>
    <n v="800"/>
    <n v="3"/>
    <x v="1"/>
    <x v="1"/>
    <x v="0"/>
    <n v="2000000"/>
    <x v="0"/>
  </r>
  <r>
    <s v="APX1342"/>
    <s v="APX1342"/>
    <s v="May 06 2025"/>
    <d v="2025-05-06T00:00:00"/>
    <x v="3"/>
    <s v="2025"/>
    <n v="5"/>
    <s v="Q-2"/>
    <x v="3"/>
    <x v="5"/>
    <n v="30"/>
    <n v="800"/>
    <n v="95"/>
    <x v="4"/>
    <x v="2"/>
    <x v="1"/>
    <n v="24000"/>
    <x v="1"/>
  </r>
  <r>
    <s v="APX1301"/>
    <s v="APX1301"/>
    <d v="2025-10-15T00:00:00"/>
    <d v="2025-10-15T00:00:00"/>
    <x v="4"/>
    <s v="2025"/>
    <n v="10"/>
    <s v="Q-4"/>
    <x v="4"/>
    <x v="1"/>
    <n v="30"/>
    <n v="21399"/>
    <n v="95"/>
    <x v="1"/>
    <x v="2"/>
    <x v="2"/>
    <n v="641970"/>
    <x v="1"/>
  </r>
  <r>
    <s v="APX1055"/>
    <s v="APX1055"/>
    <d v="2025-08-15T00:00:00"/>
    <d v="2025-08-15T00:00:00"/>
    <x v="7"/>
    <s v="2025"/>
    <n v="8"/>
    <s v="Q-3"/>
    <x v="3"/>
    <x v="0"/>
    <n v="2500"/>
    <n v="4500"/>
    <n v="95"/>
    <x v="3"/>
    <x v="1"/>
    <x v="1"/>
    <n v="11250000"/>
    <x v="1"/>
  </r>
  <r>
    <s v="APX1041"/>
    <s v="APX1041"/>
    <d v="2025-12-19T00:00:00"/>
    <d v="2025-12-19T00:00:00"/>
    <x v="5"/>
    <s v="2025"/>
    <n v="12"/>
    <s v="Q-4"/>
    <x v="2"/>
    <x v="1"/>
    <n v="12"/>
    <n v="40264"/>
    <n v="7"/>
    <x v="3"/>
    <x v="0"/>
    <x v="2"/>
    <n v="483168"/>
    <x v="2"/>
  </r>
  <r>
    <s v="APX1047"/>
    <s v="APX1047"/>
    <d v="2025-10-28T00:00:00"/>
    <d v="2025-10-28T00:00:00"/>
    <x v="4"/>
    <s v="2025"/>
    <n v="10"/>
    <s v="Q-4"/>
    <x v="2"/>
    <x v="0"/>
    <n v="30"/>
    <n v="30052"/>
    <n v="3"/>
    <x v="2"/>
    <x v="1"/>
    <x v="1"/>
    <n v="901560"/>
    <x v="0"/>
  </r>
  <r>
    <s v="APX1081"/>
    <s v="APX1081"/>
    <d v="2025-02-16T00:00:00"/>
    <d v="2025-02-16T00:00:00"/>
    <x v="10"/>
    <s v="2025"/>
    <n v="2"/>
    <s v="Q-1"/>
    <x v="2"/>
    <x v="3"/>
    <n v="12"/>
    <n v="850000"/>
    <n v="7"/>
    <x v="0"/>
    <x v="1"/>
    <x v="3"/>
    <n v="10200000"/>
    <x v="2"/>
  </r>
  <r>
    <s v="APX1110"/>
    <s v="APX1110"/>
    <d v="2025-08-30T00:00:00"/>
    <d v="2025-08-30T00:00:00"/>
    <x v="7"/>
    <s v="2025"/>
    <n v="8"/>
    <s v="Q-3"/>
    <x v="2"/>
    <x v="4"/>
    <n v="2500"/>
    <n v="4500"/>
    <n v="2"/>
    <x v="1"/>
    <x v="0"/>
    <x v="1"/>
    <n v="11250000"/>
    <x v="0"/>
  </r>
  <r>
    <s v="APX1219"/>
    <s v="APX1219"/>
    <d v="2025-09-20T00:00:00"/>
    <d v="2025-09-20T00:00:00"/>
    <x v="11"/>
    <s v="2025"/>
    <n v="9"/>
    <s v="Q-4"/>
    <x v="3"/>
    <x v="1"/>
    <n v="2500"/>
    <n v="6500"/>
    <n v="7"/>
    <x v="4"/>
    <x v="1"/>
    <x v="1"/>
    <n v="16250000"/>
    <x v="2"/>
  </r>
  <r>
    <s v="APX1406"/>
    <s v="APX1406"/>
    <d v="2025-05-29T00:00:00"/>
    <d v="2025-05-29T00:00:00"/>
    <x v="3"/>
    <s v="2025"/>
    <n v="5"/>
    <s v="Q-2"/>
    <x v="5"/>
    <x v="1"/>
    <n v="160"/>
    <n v="800"/>
    <n v="95"/>
    <x v="2"/>
    <x v="0"/>
    <x v="1"/>
    <n v="128000"/>
    <x v="1"/>
  </r>
  <r>
    <s v="APX1088"/>
    <s v="APX1088"/>
    <d v="2025-05-30T00:00:00"/>
    <d v="2025-05-30T00:00:00"/>
    <x v="3"/>
    <s v="2025"/>
    <n v="5"/>
    <s v="Q-2"/>
    <x v="1"/>
    <x v="4"/>
    <n v="80"/>
    <n v="800"/>
    <n v="3"/>
    <x v="1"/>
    <x v="1"/>
    <x v="0"/>
    <n v="64000"/>
    <x v="0"/>
  </r>
  <r>
    <s v="APX1076"/>
    <s v="APX1076"/>
    <d v="2025-12-20T00:00:00"/>
    <d v="2025-12-20T00:00:00"/>
    <x v="5"/>
    <s v="2025"/>
    <n v="12"/>
    <s v="Q-4"/>
    <x v="0"/>
    <x v="0"/>
    <n v="30"/>
    <n v="6500"/>
    <n v="95"/>
    <x v="4"/>
    <x v="1"/>
    <x v="2"/>
    <n v="195000"/>
    <x v="1"/>
  </r>
  <r>
    <s v="APX1241"/>
    <s v="APX1241"/>
    <d v="2025-03-21T00:00:00"/>
    <d v="2025-03-21T00:00:00"/>
    <x v="1"/>
    <s v="2025"/>
    <n v="3"/>
    <s v="Q-1"/>
    <x v="2"/>
    <x v="5"/>
    <n v="2500"/>
    <n v="4500"/>
    <n v="3"/>
    <x v="4"/>
    <x v="1"/>
    <x v="0"/>
    <n v="11250000"/>
    <x v="0"/>
  </r>
  <r>
    <n v="1296"/>
    <s v="APX1296"/>
    <d v="2025-03-25T00:00:00"/>
    <d v="2025-03-25T00:00:00"/>
    <x v="1"/>
    <s v="2025"/>
    <n v="3"/>
    <s v="Q-1"/>
    <x v="3"/>
    <x v="0"/>
    <n v="2500"/>
    <n v="850000"/>
    <n v="3"/>
    <x v="3"/>
    <x v="1"/>
    <x v="1"/>
    <n v="2125000000"/>
    <x v="0"/>
  </r>
  <r>
    <s v="APX1333"/>
    <s v="APX1333"/>
    <d v="2025-09-28T00:00:00"/>
    <d v="2025-09-28T00:00:00"/>
    <x v="11"/>
    <s v="2025"/>
    <n v="9"/>
    <s v="Q-4"/>
    <x v="3"/>
    <x v="3"/>
    <n v="30"/>
    <n v="850000"/>
    <n v="4"/>
    <x v="2"/>
    <x v="1"/>
    <x v="1"/>
    <n v="25500000"/>
    <x v="2"/>
  </r>
  <r>
    <s v="APX1217"/>
    <s v="APX1217"/>
    <d v="2025-10-30T00:00:00"/>
    <d v="2025-10-30T00:00:00"/>
    <x v="4"/>
    <s v="2025"/>
    <n v="10"/>
    <s v="Q-4"/>
    <x v="5"/>
    <x v="0"/>
    <n v="104"/>
    <n v="800"/>
    <n v="3"/>
    <x v="2"/>
    <x v="2"/>
    <x v="0"/>
    <n v="83200"/>
    <x v="0"/>
  </r>
  <r>
    <s v="APX1099"/>
    <s v="APX1099"/>
    <s v="Mar 04 2025"/>
    <d v="2025-03-04T00:00:00"/>
    <x v="1"/>
    <s v="2025"/>
    <n v="3"/>
    <s v="Q-1"/>
    <x v="5"/>
    <x v="4"/>
    <n v="124"/>
    <n v="4500"/>
    <n v="7"/>
    <x v="4"/>
    <x v="1"/>
    <x v="1"/>
    <n v="558000"/>
    <x v="2"/>
  </r>
  <r>
    <s v="APX1203"/>
    <s v="APX1203"/>
    <s v="Dec 04 2025"/>
    <d v="2025-12-04T00:00:00"/>
    <x v="5"/>
    <s v="2025"/>
    <n v="12"/>
    <s v="Q-4"/>
    <x v="3"/>
    <x v="4"/>
    <n v="12"/>
    <n v="850000"/>
    <n v="3"/>
    <x v="3"/>
    <x v="0"/>
    <x v="1"/>
    <n v="10200000"/>
    <x v="0"/>
  </r>
  <r>
    <s v="APX1080"/>
    <s v="APX1080"/>
    <s v="Jul 31 2025"/>
    <d v="2025-07-31T00:00:00"/>
    <x v="9"/>
    <s v="2025"/>
    <n v="7"/>
    <s v="Q-3"/>
    <x v="3"/>
    <x v="3"/>
    <n v="30"/>
    <n v="4500"/>
    <n v="10"/>
    <x v="3"/>
    <x v="1"/>
    <x v="1"/>
    <n v="135000"/>
    <x v="1"/>
  </r>
  <r>
    <s v="APX1394"/>
    <s v="APX1394"/>
    <d v="2025-12-21T00:00:00"/>
    <d v="2025-12-21T00:00:00"/>
    <x v="5"/>
    <s v="2025"/>
    <n v="12"/>
    <s v="Q-4"/>
    <x v="3"/>
    <x v="0"/>
    <n v="2500"/>
    <n v="4500"/>
    <n v="3"/>
    <x v="2"/>
    <x v="1"/>
    <x v="1"/>
    <n v="11250000"/>
    <x v="0"/>
  </r>
  <r>
    <s v="APX1414"/>
    <s v="APX1414"/>
    <d v="2025-11-10T00:00:00"/>
    <d v="2025-11-10T00:00:00"/>
    <x v="6"/>
    <s v="2025"/>
    <n v="11"/>
    <s v="Q-4"/>
    <x v="4"/>
    <x v="0"/>
    <n v="2500"/>
    <n v="850000"/>
    <n v="10"/>
    <x v="3"/>
    <x v="1"/>
    <x v="3"/>
    <n v="2125000000"/>
    <x v="1"/>
  </r>
  <r>
    <s v="APX1380"/>
    <s v="APX1380"/>
    <d v="2025-09-25T00:00:00"/>
    <d v="2025-09-25T00:00:00"/>
    <x v="11"/>
    <s v="2025"/>
    <n v="9"/>
    <s v="Q-4"/>
    <x v="4"/>
    <x v="2"/>
    <n v="30"/>
    <n v="4500"/>
    <n v="3"/>
    <x v="1"/>
    <x v="1"/>
    <x v="0"/>
    <n v="135000"/>
    <x v="0"/>
  </r>
  <r>
    <s v="APX1378"/>
    <s v="APX1378"/>
    <s v="May 06 2025"/>
    <d v="2025-05-06T00:00:00"/>
    <x v="3"/>
    <s v="2025"/>
    <n v="5"/>
    <s v="Q-2"/>
    <x v="2"/>
    <x v="1"/>
    <n v="12"/>
    <n v="4500"/>
    <n v="95"/>
    <x v="3"/>
    <x v="1"/>
    <x v="3"/>
    <n v="54000"/>
    <x v="1"/>
  </r>
  <r>
    <s v="APX1340"/>
    <s v="APX1340"/>
    <d v="2025-08-23T00:00:00"/>
    <d v="2025-08-23T00:00:00"/>
    <x v="7"/>
    <s v="2025"/>
    <n v="8"/>
    <s v="Q-3"/>
    <x v="1"/>
    <x v="5"/>
    <n v="187"/>
    <n v="4500"/>
    <n v="3"/>
    <x v="3"/>
    <x v="0"/>
    <x v="1"/>
    <n v="841500"/>
    <x v="0"/>
  </r>
  <r>
    <s v="APX1324"/>
    <s v="APX1324"/>
    <s v="Feb 24 2025"/>
    <d v="2025-02-24T00:00:00"/>
    <x v="10"/>
    <s v="2025"/>
    <n v="2"/>
    <s v="Q-1"/>
    <x v="4"/>
    <x v="0"/>
    <n v="30"/>
    <n v="800"/>
    <n v="13"/>
    <x v="0"/>
    <x v="1"/>
    <x v="1"/>
    <n v="24000"/>
    <x v="1"/>
  </r>
  <r>
    <s v="APX1240"/>
    <s v="APX1240"/>
    <s v="May 25 2025"/>
    <d v="2025-05-25T00:00:00"/>
    <x v="3"/>
    <s v="2025"/>
    <n v="5"/>
    <s v="Q-2"/>
    <x v="1"/>
    <x v="0"/>
    <n v="30"/>
    <n v="29641"/>
    <n v="3"/>
    <x v="3"/>
    <x v="1"/>
    <x v="3"/>
    <n v="889230"/>
    <x v="0"/>
  </r>
  <r>
    <s v="APX1232"/>
    <s v="APX1232"/>
    <d v="2025-11-28T00:00:00"/>
    <d v="2025-11-28T00:00:00"/>
    <x v="6"/>
    <s v="2025"/>
    <n v="11"/>
    <s v="Q-4"/>
    <x v="3"/>
    <x v="0"/>
    <n v="6"/>
    <n v="4500"/>
    <n v="95"/>
    <x v="3"/>
    <x v="1"/>
    <x v="3"/>
    <n v="27000"/>
    <x v="1"/>
  </r>
  <r>
    <s v="APX1107"/>
    <s v="APX1107"/>
    <d v="2025-09-05T00:00:00"/>
    <d v="2025-09-05T00:00:00"/>
    <x v="11"/>
    <s v="2025"/>
    <n v="9"/>
    <s v="Q-4"/>
    <x v="4"/>
    <x v="4"/>
    <n v="30"/>
    <n v="35191"/>
    <n v="3"/>
    <x v="1"/>
    <x v="1"/>
    <x v="0"/>
    <n v="1055730"/>
    <x v="0"/>
  </r>
  <r>
    <s v="APX1369"/>
    <s v="APX1369"/>
    <d v="2025-08-08T00:00:00"/>
    <d v="2025-08-08T00:00:00"/>
    <x v="7"/>
    <s v="2025"/>
    <n v="8"/>
    <s v="Q-3"/>
    <x v="3"/>
    <x v="0"/>
    <n v="12"/>
    <n v="4500"/>
    <n v="3"/>
    <x v="1"/>
    <x v="1"/>
    <x v="1"/>
    <n v="54000"/>
    <x v="0"/>
  </r>
  <r>
    <s v="APX1309"/>
    <s v="APX1309"/>
    <d v="2025-09-09T00:00:00"/>
    <d v="2025-09-09T00:00:00"/>
    <x v="11"/>
    <s v="2025"/>
    <n v="9"/>
    <s v="Q-4"/>
    <x v="0"/>
    <x v="5"/>
    <n v="102"/>
    <n v="20113"/>
    <n v="2"/>
    <x v="3"/>
    <x v="0"/>
    <x v="1"/>
    <n v="2051526"/>
    <x v="0"/>
  </r>
  <r>
    <s v="APX1085"/>
    <s v="APX1085"/>
    <d v="2025-08-11T00:00:00"/>
    <d v="2025-08-11T00:00:00"/>
    <x v="7"/>
    <s v="2025"/>
    <n v="8"/>
    <s v="Q-3"/>
    <x v="0"/>
    <x v="0"/>
    <n v="12"/>
    <n v="800"/>
    <n v="3"/>
    <x v="0"/>
    <x v="1"/>
    <x v="1"/>
    <n v="9600"/>
    <x v="0"/>
  </r>
  <r>
    <s v="APX1176"/>
    <s v="APX1176"/>
    <d v="2025-04-25T00:00:00"/>
    <d v="2025-04-25T00:00:00"/>
    <x v="0"/>
    <s v="2025"/>
    <n v="4"/>
    <s v="Q-2"/>
    <x v="3"/>
    <x v="1"/>
    <n v="2500"/>
    <n v="12970"/>
    <n v="12"/>
    <x v="1"/>
    <x v="0"/>
    <x v="1"/>
    <n v="32425000"/>
    <x v="1"/>
  </r>
  <r>
    <s v="APX1113"/>
    <s v="APX1113"/>
    <d v="2025-04-13T00:00:00"/>
    <d v="2025-04-13T00:00:00"/>
    <x v="0"/>
    <s v="2025"/>
    <n v="4"/>
    <s v="Q-2"/>
    <x v="4"/>
    <x v="0"/>
    <n v="30"/>
    <n v="4500"/>
    <n v="6"/>
    <x v="3"/>
    <x v="2"/>
    <x v="1"/>
    <n v="135000"/>
    <x v="2"/>
  </r>
  <r>
    <s v="APX1266"/>
    <s v="APX1266"/>
    <d v="2025-08-16T00:00:00"/>
    <d v="2025-08-16T00:00:00"/>
    <x v="7"/>
    <s v="2025"/>
    <n v="8"/>
    <s v="Q-3"/>
    <x v="4"/>
    <x v="4"/>
    <n v="12"/>
    <n v="4500"/>
    <n v="95"/>
    <x v="3"/>
    <x v="1"/>
    <x v="0"/>
    <n v="54000"/>
    <x v="1"/>
  </r>
  <r>
    <s v="APX1261"/>
    <s v="APX1261"/>
    <s v="Jul 26 2025"/>
    <d v="2025-07-26T00:00:00"/>
    <x v="9"/>
    <s v="2025"/>
    <n v="7"/>
    <s v="Q-3"/>
    <x v="4"/>
    <x v="5"/>
    <n v="2500"/>
    <n v="850000"/>
    <n v="3"/>
    <x v="3"/>
    <x v="1"/>
    <x v="1"/>
    <n v="2125000000"/>
    <x v="0"/>
  </r>
  <r>
    <s v="APX1132"/>
    <s v="APX1132"/>
    <s v="Apr 09 2025"/>
    <d v="2025-04-09T00:00:00"/>
    <x v="0"/>
    <s v="2025"/>
    <n v="4"/>
    <s v="Q-2"/>
    <x v="3"/>
    <x v="5"/>
    <n v="2500"/>
    <n v="34868"/>
    <n v="3"/>
    <x v="3"/>
    <x v="1"/>
    <x v="1"/>
    <n v="87170000"/>
    <x v="0"/>
  </r>
  <r>
    <s v="APX1085"/>
    <s v="APX1085"/>
    <d v="2025-01-03T00:00:00"/>
    <d v="2025-01-03T00:00:00"/>
    <x v="8"/>
    <s v="2025"/>
    <n v="1"/>
    <s v="Q-1"/>
    <x v="3"/>
    <x v="0"/>
    <n v="62"/>
    <n v="47436"/>
    <n v="3"/>
    <x v="0"/>
    <x v="1"/>
    <x v="0"/>
    <n v="2941032"/>
    <x v="0"/>
  </r>
  <r>
    <s v="APX1040"/>
    <s v="APX1040"/>
    <d v="2025-06-19T00:00:00"/>
    <d v="2025-06-19T00:00:00"/>
    <x v="2"/>
    <s v="2025"/>
    <n v="6"/>
    <s v="Q-2"/>
    <x v="3"/>
    <x v="0"/>
    <n v="2500"/>
    <n v="6500"/>
    <n v="95"/>
    <x v="2"/>
    <x v="1"/>
    <x v="1"/>
    <n v="16250000"/>
    <x v="1"/>
  </r>
  <r>
    <s v="APX1146"/>
    <s v="APX1146"/>
    <d v="2025-12-06T00:00:00"/>
    <d v="2025-12-06T00:00:00"/>
    <x v="5"/>
    <s v="2025"/>
    <n v="12"/>
    <s v="Q-4"/>
    <x v="3"/>
    <x v="0"/>
    <n v="34"/>
    <n v="800"/>
    <n v="95"/>
    <x v="3"/>
    <x v="0"/>
    <x v="3"/>
    <n v="27200"/>
    <x v="1"/>
  </r>
  <r>
    <s v="APX1268"/>
    <s v="APX1268"/>
    <d v="2025-02-19T00:00:00"/>
    <d v="2025-02-19T00:00:00"/>
    <x v="10"/>
    <s v="2025"/>
    <n v="2"/>
    <s v="Q-1"/>
    <x v="2"/>
    <x v="0"/>
    <n v="30"/>
    <n v="850000"/>
    <n v="95"/>
    <x v="3"/>
    <x v="0"/>
    <x v="3"/>
    <n v="25500000"/>
    <x v="1"/>
  </r>
  <r>
    <s v="APX1038"/>
    <s v="APX1038"/>
    <s v="Jul 21 2025"/>
    <d v="2025-07-21T00:00:00"/>
    <x v="9"/>
    <s v="2025"/>
    <n v="7"/>
    <s v="Q-3"/>
    <x v="3"/>
    <x v="4"/>
    <n v="30"/>
    <n v="800"/>
    <n v="3"/>
    <x v="3"/>
    <x v="1"/>
    <x v="2"/>
    <n v="24000"/>
    <x v="0"/>
  </r>
  <r>
    <s v="APX1234"/>
    <s v="APX1234"/>
    <d v="2025-09-15T00:00:00"/>
    <d v="2025-09-15T00:00:00"/>
    <x v="11"/>
    <s v="2025"/>
    <n v="9"/>
    <s v="Q-4"/>
    <x v="5"/>
    <x v="5"/>
    <n v="2500"/>
    <n v="850000"/>
    <n v="3"/>
    <x v="0"/>
    <x v="1"/>
    <x v="0"/>
    <n v="2125000000"/>
    <x v="0"/>
  </r>
  <r>
    <s v="APX1271"/>
    <s v="APX1271"/>
    <d v="2025-11-28T00:00:00"/>
    <d v="2025-11-28T00:00:00"/>
    <x v="6"/>
    <s v="2025"/>
    <n v="11"/>
    <s v="Q-4"/>
    <x v="4"/>
    <x v="1"/>
    <n v="79"/>
    <n v="800"/>
    <n v="2"/>
    <x v="3"/>
    <x v="1"/>
    <x v="2"/>
    <n v="63200"/>
    <x v="0"/>
  </r>
  <r>
    <s v="APX1185"/>
    <s v="APX1185"/>
    <d v="2025-11-09T00:00:00"/>
    <d v="2025-11-09T00:00:00"/>
    <x v="6"/>
    <s v="2025"/>
    <n v="11"/>
    <s v="Q-4"/>
    <x v="4"/>
    <x v="2"/>
    <n v="172"/>
    <n v="6500"/>
    <n v="3"/>
    <x v="3"/>
    <x v="1"/>
    <x v="1"/>
    <n v="1118000"/>
    <x v="0"/>
  </r>
  <r>
    <s v="APX1110"/>
    <s v="APX1110"/>
    <d v="2025-02-23T00:00:00"/>
    <d v="2025-02-23T00:00:00"/>
    <x v="10"/>
    <s v="2025"/>
    <n v="2"/>
    <s v="Q-1"/>
    <x v="1"/>
    <x v="0"/>
    <n v="30"/>
    <n v="850000"/>
    <n v="3"/>
    <x v="2"/>
    <x v="1"/>
    <x v="3"/>
    <n v="25500000"/>
    <x v="0"/>
  </r>
  <r>
    <s v="APX1149"/>
    <s v="APX1149"/>
    <d v="2025-11-07T00:00:00"/>
    <d v="2025-11-07T00:00:00"/>
    <x v="6"/>
    <s v="2025"/>
    <n v="11"/>
    <s v="Q-4"/>
    <x v="5"/>
    <x v="0"/>
    <n v="78"/>
    <n v="850000"/>
    <n v="3"/>
    <x v="4"/>
    <x v="2"/>
    <x v="1"/>
    <n v="66300000"/>
    <x v="0"/>
  </r>
  <r>
    <s v="APX1182"/>
    <s v="APX1182"/>
    <d v="2025-02-12T00:00:00"/>
    <d v="2025-02-12T00:00:00"/>
    <x v="10"/>
    <s v="2025"/>
    <n v="2"/>
    <s v="Q-1"/>
    <x v="3"/>
    <x v="0"/>
    <n v="2500"/>
    <n v="4500"/>
    <n v="2"/>
    <x v="3"/>
    <x v="1"/>
    <x v="1"/>
    <n v="11250000"/>
    <x v="0"/>
  </r>
  <r>
    <s v="APX1000"/>
    <s v="APX1000"/>
    <d v="2025-04-17T00:00:00"/>
    <d v="2025-04-17T00:00:00"/>
    <x v="0"/>
    <s v="2025"/>
    <n v="4"/>
    <s v="Q-2"/>
    <x v="3"/>
    <x v="0"/>
    <n v="30"/>
    <n v="800"/>
    <n v="3"/>
    <x v="3"/>
    <x v="0"/>
    <x v="2"/>
    <n v="24000"/>
    <x v="0"/>
  </r>
  <r>
    <s v="APX1044"/>
    <s v="APX1044"/>
    <s v="Mar 10 2025"/>
    <d v="2025-03-10T00:00:00"/>
    <x v="1"/>
    <s v="2025"/>
    <n v="3"/>
    <s v="Q-1"/>
    <x v="5"/>
    <x v="0"/>
    <n v="188"/>
    <n v="6500"/>
    <n v="10"/>
    <x v="2"/>
    <x v="1"/>
    <x v="3"/>
    <n v="1222000"/>
    <x v="1"/>
  </r>
  <r>
    <s v="APX1125"/>
    <s v="APX1125"/>
    <d v="2025-11-18T00:00:00"/>
    <d v="2025-11-18T00:00:00"/>
    <x v="6"/>
    <s v="2025"/>
    <n v="11"/>
    <s v="Q-4"/>
    <x v="3"/>
    <x v="2"/>
    <n v="30"/>
    <n v="850000"/>
    <n v="9"/>
    <x v="3"/>
    <x v="1"/>
    <x v="2"/>
    <n v="25500000"/>
    <x v="1"/>
  </r>
  <r>
    <s v="APX1394"/>
    <s v="APX1394"/>
    <s v="Feb 21 2025"/>
    <d v="2025-02-21T00:00:00"/>
    <x v="10"/>
    <s v="2025"/>
    <n v="2"/>
    <s v="Q-1"/>
    <x v="1"/>
    <x v="0"/>
    <n v="30"/>
    <n v="800"/>
    <n v="95"/>
    <x v="1"/>
    <x v="1"/>
    <x v="1"/>
    <n v="24000"/>
    <x v="1"/>
  </r>
  <r>
    <s v="APX1004"/>
    <s v="APX1004"/>
    <d v="2025-12-28T00:00:00"/>
    <d v="2025-12-28T00:00:00"/>
    <x v="5"/>
    <s v="2025"/>
    <n v="12"/>
    <s v="Q-4"/>
    <x v="2"/>
    <x v="4"/>
    <n v="12"/>
    <n v="6500"/>
    <n v="95"/>
    <x v="4"/>
    <x v="1"/>
    <x v="0"/>
    <n v="78000"/>
    <x v="1"/>
  </r>
  <r>
    <s v="APX1317"/>
    <s v="APX1317"/>
    <d v="2025-11-27T00:00:00"/>
    <d v="2025-11-27T00:00:00"/>
    <x v="6"/>
    <s v="2025"/>
    <n v="11"/>
    <s v="Q-4"/>
    <x v="3"/>
    <x v="1"/>
    <n v="12"/>
    <n v="800"/>
    <n v="3"/>
    <x v="1"/>
    <x v="1"/>
    <x v="1"/>
    <n v="9600"/>
    <x v="0"/>
  </r>
  <r>
    <s v="APX1209"/>
    <s v="APX1209"/>
    <d v="2025-06-28T00:00:00"/>
    <d v="2025-06-28T00:00:00"/>
    <x v="2"/>
    <s v="2025"/>
    <n v="6"/>
    <s v="Q-2"/>
    <x v="1"/>
    <x v="3"/>
    <n v="133"/>
    <n v="850000"/>
    <n v="3"/>
    <x v="2"/>
    <x v="1"/>
    <x v="1"/>
    <n v="113050000"/>
    <x v="0"/>
  </r>
  <r>
    <s v="APX1107"/>
    <s v="APX1107"/>
    <d v="2025-12-01T00:00:00"/>
    <d v="2025-12-01T00:00:00"/>
    <x v="5"/>
    <s v="2025"/>
    <n v="12"/>
    <s v="Q-4"/>
    <x v="4"/>
    <x v="0"/>
    <n v="30"/>
    <n v="4500"/>
    <n v="95"/>
    <x v="2"/>
    <x v="0"/>
    <x v="3"/>
    <n v="135000"/>
    <x v="1"/>
  </r>
  <r>
    <s v="APX1078"/>
    <s v="APX1078"/>
    <d v="2025-07-03T00:00:00"/>
    <d v="2025-07-03T00:00:00"/>
    <x v="9"/>
    <s v="2025"/>
    <n v="7"/>
    <s v="Q-3"/>
    <x v="2"/>
    <x v="3"/>
    <n v="175"/>
    <n v="850000"/>
    <n v="5"/>
    <x v="3"/>
    <x v="0"/>
    <x v="1"/>
    <n v="148750000"/>
    <x v="2"/>
  </r>
  <r>
    <s v="APX1138"/>
    <s v="APX1138"/>
    <s v="Nov 09 2025"/>
    <d v="2025-11-09T00:00:00"/>
    <x v="6"/>
    <s v="2025"/>
    <n v="11"/>
    <s v="Q-4"/>
    <x v="2"/>
    <x v="0"/>
    <n v="197"/>
    <n v="850000"/>
    <n v="95"/>
    <x v="4"/>
    <x v="1"/>
    <x v="0"/>
    <n v="167450000"/>
    <x v="1"/>
  </r>
  <r>
    <s v="APX1096"/>
    <s v="APX1096"/>
    <d v="2025-10-07T00:00:00"/>
    <d v="2025-10-07T00:00:00"/>
    <x v="4"/>
    <s v="2025"/>
    <n v="10"/>
    <s v="Q-4"/>
    <x v="5"/>
    <x v="1"/>
    <n v="12"/>
    <n v="800"/>
    <n v="95"/>
    <x v="1"/>
    <x v="2"/>
    <x v="3"/>
    <n v="9600"/>
    <x v="1"/>
  </r>
  <r>
    <s v="APX1357"/>
    <s v="APX1357"/>
    <d v="2025-03-08T00:00:00"/>
    <d v="2025-03-08T00:00:00"/>
    <x v="1"/>
    <s v="2025"/>
    <n v="3"/>
    <s v="Q-1"/>
    <x v="3"/>
    <x v="4"/>
    <n v="2500"/>
    <n v="6500"/>
    <n v="9"/>
    <x v="4"/>
    <x v="1"/>
    <x v="1"/>
    <n v="16250000"/>
    <x v="1"/>
  </r>
  <r>
    <s v="APX1311"/>
    <s v="APX1311"/>
    <s v="May 04 2025"/>
    <d v="2025-05-04T00:00:00"/>
    <x v="3"/>
    <s v="2025"/>
    <n v="5"/>
    <s v="Q-2"/>
    <x v="4"/>
    <x v="0"/>
    <n v="12"/>
    <n v="4500"/>
    <n v="95"/>
    <x v="0"/>
    <x v="2"/>
    <x v="1"/>
    <n v="54000"/>
    <x v="1"/>
  </r>
  <r>
    <s v="APX1397"/>
    <s v="APX1397"/>
    <d v="2025-04-10T00:00:00"/>
    <d v="2025-04-10T00:00:00"/>
    <x v="0"/>
    <s v="2025"/>
    <n v="4"/>
    <s v="Q-2"/>
    <x v="4"/>
    <x v="4"/>
    <n v="2500"/>
    <n v="3478"/>
    <n v="3"/>
    <x v="3"/>
    <x v="1"/>
    <x v="2"/>
    <n v="8695000"/>
    <x v="0"/>
  </r>
  <r>
    <s v="APX1079"/>
    <s v="APX1079"/>
    <s v="Oct 20 2025"/>
    <d v="2025-10-20T00:00:00"/>
    <x v="4"/>
    <s v="2025"/>
    <n v="10"/>
    <s v="Q-4"/>
    <x v="5"/>
    <x v="0"/>
    <n v="12"/>
    <n v="800"/>
    <n v="95"/>
    <x v="3"/>
    <x v="1"/>
    <x v="2"/>
    <n v="9600"/>
    <x v="1"/>
  </r>
  <r>
    <s v="APX1328"/>
    <s v="APX1328"/>
    <d v="2025-05-06T00:00:00"/>
    <d v="2025-05-06T00:00:00"/>
    <x v="3"/>
    <s v="2025"/>
    <n v="5"/>
    <s v="Q-2"/>
    <x v="3"/>
    <x v="5"/>
    <n v="2500"/>
    <n v="6500"/>
    <n v="3"/>
    <x v="3"/>
    <x v="1"/>
    <x v="1"/>
    <n v="16250000"/>
    <x v="0"/>
  </r>
  <r>
    <s v="APX1336"/>
    <s v="APX1336"/>
    <d v="2025-10-07T00:00:00"/>
    <d v="2025-10-07T00:00:00"/>
    <x v="4"/>
    <s v="2025"/>
    <n v="10"/>
    <s v="Q-4"/>
    <x v="1"/>
    <x v="3"/>
    <n v="30"/>
    <n v="850000"/>
    <n v="9"/>
    <x v="0"/>
    <x v="1"/>
    <x v="1"/>
    <n v="25500000"/>
    <x v="1"/>
  </r>
  <r>
    <s v="APX1006"/>
    <s v="APX1006"/>
    <d v="2025-02-12T00:00:00"/>
    <d v="2025-02-12T00:00:00"/>
    <x v="10"/>
    <s v="2025"/>
    <n v="2"/>
    <s v="Q-1"/>
    <x v="3"/>
    <x v="3"/>
    <n v="12"/>
    <n v="850000"/>
    <n v="95"/>
    <x v="4"/>
    <x v="1"/>
    <x v="3"/>
    <n v="10200000"/>
    <x v="1"/>
  </r>
  <r>
    <s v="APX1343"/>
    <s v="APX1343"/>
    <d v="2025-02-14T00:00:00"/>
    <d v="2025-02-14T00:00:00"/>
    <x v="10"/>
    <s v="2025"/>
    <n v="2"/>
    <s v="Q-1"/>
    <x v="3"/>
    <x v="3"/>
    <n v="2500"/>
    <n v="6500"/>
    <n v="7"/>
    <x v="2"/>
    <x v="1"/>
    <x v="3"/>
    <n v="16250000"/>
    <x v="2"/>
  </r>
  <r>
    <s v="APX1224"/>
    <s v="APX1224"/>
    <d v="2025-09-20T00:00:00"/>
    <d v="2025-09-20T00:00:00"/>
    <x v="11"/>
    <s v="2025"/>
    <n v="9"/>
    <s v="Q-4"/>
    <x v="3"/>
    <x v="0"/>
    <n v="2500"/>
    <n v="850000"/>
    <n v="3"/>
    <x v="0"/>
    <x v="1"/>
    <x v="1"/>
    <n v="2125000000"/>
    <x v="0"/>
  </r>
  <r>
    <s v="APX1359"/>
    <s v="APX1359"/>
    <d v="2025-10-23T00:00:00"/>
    <d v="2025-10-23T00:00:00"/>
    <x v="4"/>
    <s v="2025"/>
    <n v="10"/>
    <s v="Q-4"/>
    <x v="3"/>
    <x v="3"/>
    <n v="2500"/>
    <n v="800"/>
    <n v="2"/>
    <x v="3"/>
    <x v="1"/>
    <x v="3"/>
    <n v="2000000"/>
    <x v="0"/>
  </r>
  <r>
    <s v="APX1044"/>
    <s v="APX1044"/>
    <d v="2025-06-06T00:00:00"/>
    <d v="2025-06-06T00:00:00"/>
    <x v="2"/>
    <s v="2025"/>
    <n v="6"/>
    <s v="Q-2"/>
    <x v="3"/>
    <x v="3"/>
    <n v="168"/>
    <n v="800"/>
    <n v="95"/>
    <x v="2"/>
    <x v="1"/>
    <x v="1"/>
    <n v="134400"/>
    <x v="1"/>
  </r>
  <r>
    <n v="1376"/>
    <s v="APX1376"/>
    <d v="2025-03-31T00:00:00"/>
    <d v="2025-03-31T00:00:00"/>
    <x v="1"/>
    <s v="2025"/>
    <n v="3"/>
    <s v="Q-1"/>
    <x v="4"/>
    <x v="1"/>
    <n v="30"/>
    <n v="2420"/>
    <n v="95"/>
    <x v="1"/>
    <x v="2"/>
    <x v="2"/>
    <n v="72600"/>
    <x v="1"/>
  </r>
  <r>
    <s v="APX1075"/>
    <s v="APX1075"/>
    <d v="2025-02-04T00:00:00"/>
    <d v="2025-02-04T00:00:00"/>
    <x v="10"/>
    <s v="2025"/>
    <n v="2"/>
    <s v="Q-1"/>
    <x v="5"/>
    <x v="1"/>
    <n v="2500"/>
    <n v="850000"/>
    <n v="95"/>
    <x v="3"/>
    <x v="0"/>
    <x v="3"/>
    <n v="2125000000"/>
    <x v="1"/>
  </r>
  <r>
    <s v="APX1150"/>
    <s v="APX1150"/>
    <s v="Jan 04 2025"/>
    <d v="2025-01-04T00:00:00"/>
    <x v="8"/>
    <s v="2025"/>
    <n v="1"/>
    <s v="Q-1"/>
    <x v="3"/>
    <x v="5"/>
    <n v="2500"/>
    <n v="38781"/>
    <n v="3"/>
    <x v="1"/>
    <x v="2"/>
    <x v="1"/>
    <n v="96952500"/>
    <x v="0"/>
  </r>
  <r>
    <s v="APX1235"/>
    <s v="APX1235"/>
    <d v="2025-05-04T00:00:00"/>
    <d v="2025-05-04T00:00:00"/>
    <x v="3"/>
    <s v="2025"/>
    <n v="5"/>
    <s v="Q-2"/>
    <x v="0"/>
    <x v="0"/>
    <n v="12"/>
    <n v="4500"/>
    <n v="11"/>
    <x v="0"/>
    <x v="2"/>
    <x v="1"/>
    <n v="54000"/>
    <x v="1"/>
  </r>
  <r>
    <s v="APX1422"/>
    <s v="APX1422"/>
    <d v="2025-09-19T00:00:00"/>
    <d v="2025-09-19T00:00:00"/>
    <x v="11"/>
    <s v="2025"/>
    <n v="9"/>
    <s v="Q-4"/>
    <x v="0"/>
    <x v="0"/>
    <n v="30"/>
    <n v="4500"/>
    <n v="95"/>
    <x v="1"/>
    <x v="1"/>
    <x v="0"/>
    <n v="135000"/>
    <x v="1"/>
  </r>
  <r>
    <s v="APX1367"/>
    <s v="APX1367"/>
    <s v="Feb 07 2025"/>
    <d v="2025-02-07T00:00:00"/>
    <x v="10"/>
    <s v="2025"/>
    <n v="2"/>
    <s v="Q-1"/>
    <x v="1"/>
    <x v="0"/>
    <n v="147"/>
    <n v="27737"/>
    <n v="95"/>
    <x v="2"/>
    <x v="1"/>
    <x v="1"/>
    <n v="4077339"/>
    <x v="1"/>
  </r>
  <r>
    <s v="APX1275"/>
    <s v="APX1275"/>
    <d v="2025-09-09T00:00:00"/>
    <d v="2025-09-09T00:00:00"/>
    <x v="11"/>
    <s v="2025"/>
    <n v="9"/>
    <s v="Q-4"/>
    <x v="4"/>
    <x v="0"/>
    <n v="62"/>
    <n v="6500"/>
    <n v="3"/>
    <x v="3"/>
    <x v="1"/>
    <x v="2"/>
    <n v="403000"/>
    <x v="0"/>
  </r>
  <r>
    <s v="APX1290"/>
    <s v="APX1290"/>
    <s v="Nov 30 2025"/>
    <d v="2025-11-30T00:00:00"/>
    <x v="6"/>
    <s v="2025"/>
    <n v="11"/>
    <s v="Q-4"/>
    <x v="1"/>
    <x v="5"/>
    <n v="30"/>
    <n v="6500"/>
    <n v="95"/>
    <x v="2"/>
    <x v="2"/>
    <x v="1"/>
    <n v="195000"/>
    <x v="1"/>
  </r>
  <r>
    <n v="1099"/>
    <s v="APX1099"/>
    <d v="2025-03-10T00:00:00"/>
    <d v="2025-03-10T00:00:00"/>
    <x v="1"/>
    <s v="2025"/>
    <n v="3"/>
    <s v="Q-1"/>
    <x v="0"/>
    <x v="0"/>
    <n v="2500"/>
    <n v="4500"/>
    <n v="8"/>
    <x v="4"/>
    <x v="1"/>
    <x v="0"/>
    <n v="11250000"/>
    <x v="1"/>
  </r>
  <r>
    <s v="APX1028"/>
    <s v="APX1028"/>
    <s v="Jan 10 2025"/>
    <d v="2025-01-10T00:00:00"/>
    <x v="8"/>
    <s v="2025"/>
    <n v="1"/>
    <s v="Q-1"/>
    <x v="0"/>
    <x v="0"/>
    <n v="30"/>
    <n v="6500"/>
    <n v="3"/>
    <x v="3"/>
    <x v="1"/>
    <x v="1"/>
    <n v="195000"/>
    <x v="0"/>
  </r>
  <r>
    <s v="APX1214"/>
    <s v="APX1214"/>
    <d v="2025-12-07T00:00:00"/>
    <d v="2025-12-07T00:00:00"/>
    <x v="5"/>
    <s v="2025"/>
    <n v="12"/>
    <s v="Q-4"/>
    <x v="3"/>
    <x v="2"/>
    <n v="178"/>
    <n v="10229"/>
    <n v="8"/>
    <x v="0"/>
    <x v="1"/>
    <x v="3"/>
    <n v="1820762"/>
    <x v="1"/>
  </r>
  <r>
    <s v="APX1302"/>
    <s v="APX1302"/>
    <d v="2025-07-26T00:00:00"/>
    <d v="2025-07-26T00:00:00"/>
    <x v="9"/>
    <s v="2025"/>
    <n v="7"/>
    <s v="Q-3"/>
    <x v="0"/>
    <x v="0"/>
    <n v="6"/>
    <n v="800"/>
    <n v="95"/>
    <x v="3"/>
    <x v="1"/>
    <x v="2"/>
    <n v="4800"/>
    <x v="1"/>
  </r>
  <r>
    <n v="1059"/>
    <s v="APX1059"/>
    <d v="2025-02-24T00:00:00"/>
    <d v="2025-02-24T00:00:00"/>
    <x v="10"/>
    <s v="2025"/>
    <n v="2"/>
    <s v="Q-1"/>
    <x v="3"/>
    <x v="2"/>
    <n v="12"/>
    <n v="850000"/>
    <n v="95"/>
    <x v="4"/>
    <x v="0"/>
    <x v="1"/>
    <n v="10200000"/>
    <x v="1"/>
  </r>
  <r>
    <s v="APX1207"/>
    <s v="APX1207"/>
    <d v="2025-03-27T00:00:00"/>
    <d v="2025-03-27T00:00:00"/>
    <x v="1"/>
    <s v="2025"/>
    <n v="3"/>
    <s v="Q-1"/>
    <x v="4"/>
    <x v="1"/>
    <n v="99"/>
    <n v="850000"/>
    <n v="95"/>
    <x v="3"/>
    <x v="1"/>
    <x v="1"/>
    <n v="84150000"/>
    <x v="1"/>
  </r>
  <r>
    <s v="APX1101"/>
    <s v="APX1101"/>
    <d v="2025-07-25T00:00:00"/>
    <d v="2025-07-25T00:00:00"/>
    <x v="9"/>
    <s v="2025"/>
    <n v="7"/>
    <s v="Q-3"/>
    <x v="2"/>
    <x v="3"/>
    <n v="2500"/>
    <n v="850000"/>
    <n v="95"/>
    <x v="2"/>
    <x v="1"/>
    <x v="1"/>
    <n v="2125000000"/>
    <x v="1"/>
  </r>
  <r>
    <s v="APX1002"/>
    <s v="APX1002"/>
    <d v="2025-12-31T00:00:00"/>
    <d v="2025-12-31T00:00:00"/>
    <x v="5"/>
    <s v="2025"/>
    <n v="12"/>
    <s v="Q-4"/>
    <x v="2"/>
    <x v="2"/>
    <n v="30"/>
    <n v="850000"/>
    <n v="7"/>
    <x v="1"/>
    <x v="2"/>
    <x v="0"/>
    <n v="25500000"/>
    <x v="2"/>
  </r>
  <r>
    <s v="APX1173"/>
    <s v="APX1173"/>
    <d v="2025-08-15T00:00:00"/>
    <d v="2025-08-15T00:00:00"/>
    <x v="7"/>
    <s v="2025"/>
    <n v="8"/>
    <s v="Q-3"/>
    <x v="4"/>
    <x v="3"/>
    <n v="12"/>
    <n v="36616"/>
    <n v="12"/>
    <x v="3"/>
    <x v="1"/>
    <x v="2"/>
    <n v="439392"/>
    <x v="1"/>
  </r>
  <r>
    <s v="APX1172"/>
    <s v="APX1172"/>
    <d v="2025-02-28T00:00:00"/>
    <d v="2025-02-28T00:00:00"/>
    <x v="10"/>
    <s v="2025"/>
    <n v="2"/>
    <s v="Q-1"/>
    <x v="2"/>
    <x v="4"/>
    <n v="149"/>
    <n v="6500"/>
    <n v="3"/>
    <x v="2"/>
    <x v="2"/>
    <x v="3"/>
    <n v="968500"/>
    <x v="0"/>
  </r>
  <r>
    <s v="APX1161"/>
    <s v="APX1161"/>
    <d v="2025-08-13T00:00:00"/>
    <d v="2025-08-13T00:00:00"/>
    <x v="7"/>
    <s v="2025"/>
    <n v="8"/>
    <s v="Q-3"/>
    <x v="1"/>
    <x v="0"/>
    <n v="2500"/>
    <n v="25148"/>
    <n v="3"/>
    <x v="1"/>
    <x v="1"/>
    <x v="1"/>
    <n v="62870000"/>
    <x v="0"/>
  </r>
  <r>
    <s v="APX1027"/>
    <s v="APX1027"/>
    <d v="2025-12-23T00:00:00"/>
    <d v="2025-12-23T00:00:00"/>
    <x v="5"/>
    <s v="2025"/>
    <n v="12"/>
    <s v="Q-4"/>
    <x v="3"/>
    <x v="2"/>
    <n v="30"/>
    <n v="4500"/>
    <n v="3"/>
    <x v="4"/>
    <x v="0"/>
    <x v="1"/>
    <n v="135000"/>
    <x v="0"/>
  </r>
  <r>
    <s v="APX1368"/>
    <s v="APX1368"/>
    <d v="2025-12-04T00:00:00"/>
    <d v="2025-12-04T00:00:00"/>
    <x v="5"/>
    <s v="2025"/>
    <n v="12"/>
    <s v="Q-4"/>
    <x v="5"/>
    <x v="0"/>
    <n v="165"/>
    <n v="4500"/>
    <n v="95"/>
    <x v="3"/>
    <x v="1"/>
    <x v="0"/>
    <n v="742500"/>
    <x v="1"/>
  </r>
  <r>
    <s v="APX1384"/>
    <s v="APX1384"/>
    <s v="May 18 2025"/>
    <d v="2025-05-18T00:00:00"/>
    <x v="3"/>
    <s v="2025"/>
    <n v="5"/>
    <s v="Q-2"/>
    <x v="3"/>
    <x v="0"/>
    <n v="2500"/>
    <n v="6500"/>
    <n v="6"/>
    <x v="3"/>
    <x v="1"/>
    <x v="1"/>
    <n v="16250000"/>
    <x v="2"/>
  </r>
  <r>
    <s v="APX1385"/>
    <s v="APX1385"/>
    <d v="2025-08-27T00:00:00"/>
    <d v="2025-08-27T00:00:00"/>
    <x v="7"/>
    <s v="2025"/>
    <n v="8"/>
    <s v="Q-3"/>
    <x v="5"/>
    <x v="0"/>
    <n v="155"/>
    <n v="850000"/>
    <n v="95"/>
    <x v="3"/>
    <x v="1"/>
    <x v="3"/>
    <n v="131750000"/>
    <x v="1"/>
  </r>
  <r>
    <s v="APX1291"/>
    <s v="APX1291"/>
    <d v="2025-09-11T00:00:00"/>
    <d v="2025-09-11T00:00:00"/>
    <x v="11"/>
    <s v="2025"/>
    <n v="9"/>
    <s v="Q-4"/>
    <x v="3"/>
    <x v="1"/>
    <n v="2500"/>
    <n v="850000"/>
    <n v="3"/>
    <x v="1"/>
    <x v="1"/>
    <x v="1"/>
    <n v="2125000000"/>
    <x v="0"/>
  </r>
  <r>
    <s v="APX1011"/>
    <s v="APX1011"/>
    <d v="2025-07-08T00:00:00"/>
    <d v="2025-07-08T00:00:00"/>
    <x v="9"/>
    <s v="2025"/>
    <n v="7"/>
    <s v="Q-3"/>
    <x v="2"/>
    <x v="4"/>
    <n v="2500"/>
    <n v="4500"/>
    <n v="3"/>
    <x v="3"/>
    <x v="1"/>
    <x v="3"/>
    <n v="11250000"/>
    <x v="0"/>
  </r>
  <r>
    <s v="APX1067"/>
    <s v="APX1067"/>
    <d v="2025-09-08T00:00:00"/>
    <d v="2025-09-08T00:00:00"/>
    <x v="11"/>
    <s v="2025"/>
    <n v="9"/>
    <s v="Q-4"/>
    <x v="3"/>
    <x v="0"/>
    <n v="2500"/>
    <n v="6220"/>
    <n v="3"/>
    <x v="3"/>
    <x v="1"/>
    <x v="3"/>
    <n v="15550000"/>
    <x v="0"/>
  </r>
  <r>
    <s v="APX1108"/>
    <s v="APX1108"/>
    <d v="2025-04-13T00:00:00"/>
    <d v="2025-04-13T00:00:00"/>
    <x v="0"/>
    <s v="2025"/>
    <n v="4"/>
    <s v="Q-2"/>
    <x v="3"/>
    <x v="4"/>
    <n v="12"/>
    <n v="6500"/>
    <n v="3"/>
    <x v="3"/>
    <x v="0"/>
    <x v="2"/>
    <n v="78000"/>
    <x v="0"/>
  </r>
  <r>
    <s v="APX1426"/>
    <s v="APX1426"/>
    <d v="2025-11-18T00:00:00"/>
    <d v="2025-11-18T00:00:00"/>
    <x v="6"/>
    <s v="2025"/>
    <n v="11"/>
    <s v="Q-4"/>
    <x v="2"/>
    <x v="3"/>
    <n v="2500"/>
    <n v="15198"/>
    <n v="4"/>
    <x v="2"/>
    <x v="1"/>
    <x v="1"/>
    <n v="37995000"/>
    <x v="2"/>
  </r>
  <r>
    <s v="APX1261"/>
    <s v="APX1261"/>
    <d v="2025-03-26T00:00:00"/>
    <d v="2025-03-26T00:00:00"/>
    <x v="1"/>
    <s v="2025"/>
    <n v="3"/>
    <s v="Q-1"/>
    <x v="5"/>
    <x v="1"/>
    <n v="30"/>
    <n v="6500"/>
    <n v="3"/>
    <x v="1"/>
    <x v="0"/>
    <x v="0"/>
    <n v="195000"/>
    <x v="0"/>
  </r>
  <r>
    <s v="APX1121"/>
    <s v="APX1121"/>
    <s v="Feb 04 2025"/>
    <d v="2025-02-04T00:00:00"/>
    <x v="10"/>
    <s v="2025"/>
    <n v="2"/>
    <s v="Q-1"/>
    <x v="3"/>
    <x v="5"/>
    <n v="111"/>
    <n v="23072"/>
    <n v="95"/>
    <x v="3"/>
    <x v="1"/>
    <x v="1"/>
    <n v="2560992"/>
    <x v="1"/>
  </r>
  <r>
    <s v="APX1092"/>
    <s v="APX1092"/>
    <d v="2025-09-25T00:00:00"/>
    <d v="2025-09-25T00:00:00"/>
    <x v="11"/>
    <s v="2025"/>
    <n v="9"/>
    <s v="Q-4"/>
    <x v="3"/>
    <x v="3"/>
    <n v="2500"/>
    <n v="800"/>
    <n v="4"/>
    <x v="1"/>
    <x v="0"/>
    <x v="1"/>
    <n v="2000000"/>
    <x v="2"/>
  </r>
  <r>
    <s v="APX1162"/>
    <s v="APX1162"/>
    <d v="2025-12-12T00:00:00"/>
    <d v="2025-12-12T00:00:00"/>
    <x v="5"/>
    <s v="2025"/>
    <n v="12"/>
    <s v="Q-4"/>
    <x v="2"/>
    <x v="0"/>
    <n v="30"/>
    <n v="6500"/>
    <n v="95"/>
    <x v="3"/>
    <x v="1"/>
    <x v="1"/>
    <n v="195000"/>
    <x v="1"/>
  </r>
  <r>
    <s v="APX1281"/>
    <s v="APX1281"/>
    <s v="Jan 09 2025"/>
    <d v="2025-01-09T00:00:00"/>
    <x v="8"/>
    <s v="2025"/>
    <n v="1"/>
    <s v="Q-1"/>
    <x v="2"/>
    <x v="0"/>
    <n v="30"/>
    <n v="800"/>
    <n v="6"/>
    <x v="3"/>
    <x v="1"/>
    <x v="1"/>
    <n v="24000"/>
    <x v="2"/>
  </r>
  <r>
    <s v="APX1025"/>
    <s v="APX1025"/>
    <d v="2025-04-20T00:00:00"/>
    <d v="2025-04-20T00:00:00"/>
    <x v="0"/>
    <s v="2025"/>
    <n v="4"/>
    <s v="Q-2"/>
    <x v="4"/>
    <x v="3"/>
    <n v="200"/>
    <n v="800"/>
    <n v="95"/>
    <x v="3"/>
    <x v="1"/>
    <x v="0"/>
    <n v="160000"/>
    <x v="1"/>
  </r>
  <r>
    <s v="APX1220"/>
    <s v="APX1220"/>
    <d v="2025-06-20T00:00:00"/>
    <d v="2025-06-20T00:00:00"/>
    <x v="2"/>
    <s v="2025"/>
    <n v="6"/>
    <s v="Q-2"/>
    <x v="4"/>
    <x v="0"/>
    <n v="30"/>
    <n v="800"/>
    <n v="3"/>
    <x v="2"/>
    <x v="0"/>
    <x v="1"/>
    <n v="24000"/>
    <x v="0"/>
  </r>
  <r>
    <s v="APX1358"/>
    <s v="APX1358"/>
    <s v="Aug 21 2025"/>
    <d v="2025-08-21T00:00:00"/>
    <x v="7"/>
    <s v="2025"/>
    <n v="8"/>
    <s v="Q-3"/>
    <x v="2"/>
    <x v="3"/>
    <n v="30"/>
    <n v="4500"/>
    <n v="95"/>
    <x v="1"/>
    <x v="1"/>
    <x v="1"/>
    <n v="135000"/>
    <x v="1"/>
  </r>
  <r>
    <s v="APX1380"/>
    <s v="APX1380"/>
    <d v="2025-04-18T00:00:00"/>
    <d v="2025-04-18T00:00:00"/>
    <x v="0"/>
    <s v="2025"/>
    <n v="4"/>
    <s v="Q-2"/>
    <x v="4"/>
    <x v="2"/>
    <n v="2500"/>
    <n v="4500"/>
    <n v="95"/>
    <x v="1"/>
    <x v="1"/>
    <x v="1"/>
    <n v="11250000"/>
    <x v="1"/>
  </r>
  <r>
    <s v="APX1139"/>
    <s v="APX1139"/>
    <d v="2025-11-05T00:00:00"/>
    <d v="2025-11-05T00:00:00"/>
    <x v="6"/>
    <s v="2025"/>
    <n v="11"/>
    <s v="Q-4"/>
    <x v="5"/>
    <x v="1"/>
    <n v="30"/>
    <n v="39988"/>
    <n v="6"/>
    <x v="2"/>
    <x v="2"/>
    <x v="2"/>
    <n v="1199640"/>
    <x v="2"/>
  </r>
  <r>
    <s v="APX1135"/>
    <s v="APX1135"/>
    <d v="2025-08-13T00:00:00"/>
    <d v="2025-08-13T00:00:00"/>
    <x v="7"/>
    <s v="2025"/>
    <n v="8"/>
    <s v="Q-3"/>
    <x v="4"/>
    <x v="2"/>
    <n v="12"/>
    <n v="800"/>
    <n v="6"/>
    <x v="3"/>
    <x v="1"/>
    <x v="1"/>
    <n v="9600"/>
    <x v="2"/>
  </r>
  <r>
    <s v="APX1220"/>
    <s v="APX1220"/>
    <d v="2025-06-14T00:00:00"/>
    <d v="2025-06-14T00:00:00"/>
    <x v="2"/>
    <s v="2025"/>
    <n v="6"/>
    <s v="Q-2"/>
    <x v="3"/>
    <x v="0"/>
    <n v="116"/>
    <n v="850000"/>
    <n v="95"/>
    <x v="3"/>
    <x v="2"/>
    <x v="0"/>
    <n v="98600000"/>
    <x v="1"/>
  </r>
  <r>
    <s v="APX1420"/>
    <s v="APX1420"/>
    <s v="Apr 28 2025"/>
    <d v="2025-04-28T00:00:00"/>
    <x v="0"/>
    <s v="2025"/>
    <n v="4"/>
    <s v="Q-2"/>
    <x v="1"/>
    <x v="0"/>
    <n v="12"/>
    <n v="800"/>
    <n v="3"/>
    <x v="3"/>
    <x v="1"/>
    <x v="2"/>
    <n v="9600"/>
    <x v="0"/>
  </r>
  <r>
    <s v="APX1038"/>
    <s v="APX1038"/>
    <s v="Nov 03 2025"/>
    <d v="2025-11-03T00:00:00"/>
    <x v="6"/>
    <s v="2025"/>
    <n v="11"/>
    <s v="Q-4"/>
    <x v="1"/>
    <x v="0"/>
    <n v="190"/>
    <n v="6500"/>
    <n v="12"/>
    <x v="3"/>
    <x v="1"/>
    <x v="3"/>
    <n v="1235000"/>
    <x v="1"/>
  </r>
  <r>
    <s v="APX1099"/>
    <s v="APX1099"/>
    <d v="2025-09-15T00:00:00"/>
    <d v="2025-09-15T00:00:00"/>
    <x v="11"/>
    <s v="2025"/>
    <n v="9"/>
    <s v="Q-4"/>
    <x v="4"/>
    <x v="0"/>
    <n v="30"/>
    <n v="11580"/>
    <n v="1"/>
    <x v="1"/>
    <x v="0"/>
    <x v="1"/>
    <n v="347400"/>
    <x v="0"/>
  </r>
  <r>
    <s v="APX1315"/>
    <s v="APX1315"/>
    <d v="2025-04-15T00:00:00"/>
    <d v="2025-04-15T00:00:00"/>
    <x v="0"/>
    <s v="2025"/>
    <n v="4"/>
    <s v="Q-2"/>
    <x v="2"/>
    <x v="2"/>
    <n v="12"/>
    <n v="800"/>
    <n v="3"/>
    <x v="4"/>
    <x v="1"/>
    <x v="0"/>
    <n v="9600"/>
    <x v="0"/>
  </r>
  <r>
    <s v="APX1199"/>
    <s v="APX1199"/>
    <d v="2025-04-13T00:00:00"/>
    <d v="2025-04-13T00:00:00"/>
    <x v="0"/>
    <s v="2025"/>
    <n v="4"/>
    <s v="Q-2"/>
    <x v="3"/>
    <x v="0"/>
    <n v="12"/>
    <n v="6500"/>
    <n v="2"/>
    <x v="3"/>
    <x v="0"/>
    <x v="1"/>
    <n v="78000"/>
    <x v="0"/>
  </r>
  <r>
    <s v="APX1393"/>
    <s v="APX1393"/>
    <d v="2025-09-15T00:00:00"/>
    <d v="2025-09-15T00:00:00"/>
    <x v="11"/>
    <s v="2025"/>
    <n v="9"/>
    <s v="Q-4"/>
    <x v="5"/>
    <x v="4"/>
    <n v="12"/>
    <n v="850000"/>
    <n v="2"/>
    <x v="2"/>
    <x v="1"/>
    <x v="0"/>
    <n v="10200000"/>
    <x v="0"/>
  </r>
  <r>
    <s v="APX1039"/>
    <s v="APX1039"/>
    <d v="2025-10-18T00:00:00"/>
    <d v="2025-10-18T00:00:00"/>
    <x v="4"/>
    <s v="2025"/>
    <n v="10"/>
    <s v="Q-4"/>
    <x v="0"/>
    <x v="3"/>
    <n v="2500"/>
    <n v="6500"/>
    <n v="95"/>
    <x v="3"/>
    <x v="1"/>
    <x v="1"/>
    <n v="16250000"/>
    <x v="1"/>
  </r>
  <r>
    <s v="APX1030"/>
    <s v="APX1030"/>
    <d v="2025-07-22T00:00:00"/>
    <d v="2025-07-22T00:00:00"/>
    <x v="9"/>
    <s v="2025"/>
    <n v="7"/>
    <s v="Q-3"/>
    <x v="4"/>
    <x v="2"/>
    <n v="2500"/>
    <n v="4500"/>
    <n v="11"/>
    <x v="0"/>
    <x v="1"/>
    <x v="3"/>
    <n v="11250000"/>
    <x v="1"/>
  </r>
  <r>
    <s v="APX1231"/>
    <s v="APX1231"/>
    <d v="2025-09-27T00:00:00"/>
    <d v="2025-09-27T00:00:00"/>
    <x v="11"/>
    <s v="2025"/>
    <n v="9"/>
    <s v="Q-4"/>
    <x v="0"/>
    <x v="1"/>
    <n v="76"/>
    <n v="800"/>
    <n v="3"/>
    <x v="2"/>
    <x v="1"/>
    <x v="1"/>
    <n v="60800"/>
    <x v="0"/>
  </r>
  <r>
    <s v="APX1144"/>
    <s v="APX1144"/>
    <d v="2025-11-25T00:00:00"/>
    <d v="2025-11-25T00:00:00"/>
    <x v="6"/>
    <s v="2025"/>
    <n v="11"/>
    <s v="Q-4"/>
    <x v="5"/>
    <x v="0"/>
    <n v="12"/>
    <n v="28114"/>
    <n v="3"/>
    <x v="2"/>
    <x v="2"/>
    <x v="1"/>
    <n v="337368"/>
    <x v="0"/>
  </r>
  <r>
    <s v="APX1248"/>
    <s v="APX1248"/>
    <d v="2025-04-19T00:00:00"/>
    <d v="2025-04-19T00:00:00"/>
    <x v="0"/>
    <s v="2025"/>
    <n v="4"/>
    <s v="Q-2"/>
    <x v="1"/>
    <x v="3"/>
    <n v="12"/>
    <n v="6500"/>
    <n v="7"/>
    <x v="3"/>
    <x v="1"/>
    <x v="1"/>
    <n v="78000"/>
    <x v="2"/>
  </r>
  <r>
    <s v="APX1355"/>
    <s v="APX1355"/>
    <d v="2025-12-30T00:00:00"/>
    <d v="2025-12-30T00:00:00"/>
    <x v="5"/>
    <s v="2025"/>
    <n v="12"/>
    <s v="Q-4"/>
    <x v="4"/>
    <x v="0"/>
    <n v="143"/>
    <n v="800"/>
    <n v="3"/>
    <x v="3"/>
    <x v="0"/>
    <x v="1"/>
    <n v="114400"/>
    <x v="0"/>
  </r>
  <r>
    <s v="APX1200"/>
    <s v="APX1200"/>
    <d v="2025-11-13T00:00:00"/>
    <d v="2025-11-13T00:00:00"/>
    <x v="6"/>
    <s v="2025"/>
    <n v="11"/>
    <s v="Q-4"/>
    <x v="2"/>
    <x v="2"/>
    <n v="30"/>
    <n v="30719"/>
    <n v="3"/>
    <x v="3"/>
    <x v="2"/>
    <x v="1"/>
    <n v="921570"/>
    <x v="0"/>
  </r>
  <r>
    <s v="APX1224"/>
    <s v="APX1224"/>
    <s v="Jan 30 2025"/>
    <d v="2025-01-30T00:00:00"/>
    <x v="8"/>
    <s v="2025"/>
    <n v="1"/>
    <s v="Q-1"/>
    <x v="5"/>
    <x v="0"/>
    <n v="2500"/>
    <n v="6500"/>
    <n v="3"/>
    <x v="1"/>
    <x v="2"/>
    <x v="1"/>
    <n v="16250000"/>
    <x v="0"/>
  </r>
  <r>
    <s v="APX1065"/>
    <s v="APX1065"/>
    <d v="2025-01-31T00:00:00"/>
    <d v="2025-01-31T00:00:00"/>
    <x v="8"/>
    <s v="2025"/>
    <n v="1"/>
    <s v="Q-1"/>
    <x v="0"/>
    <x v="5"/>
    <n v="30"/>
    <n v="850000"/>
    <n v="3"/>
    <x v="2"/>
    <x v="0"/>
    <x v="2"/>
    <n v="25500000"/>
    <x v="0"/>
  </r>
  <r>
    <s v="APX1361"/>
    <s v="APX1361"/>
    <d v="2025-07-02T00:00:00"/>
    <d v="2025-07-02T00:00:00"/>
    <x v="9"/>
    <s v="2025"/>
    <n v="7"/>
    <s v="Q-3"/>
    <x v="0"/>
    <x v="1"/>
    <n v="30"/>
    <n v="800"/>
    <n v="3"/>
    <x v="4"/>
    <x v="1"/>
    <x v="1"/>
    <n v="24000"/>
    <x v="0"/>
  </r>
  <r>
    <s v="APX1188"/>
    <s v="APX1188"/>
    <s v="May 14 2025"/>
    <d v="2025-05-14T00:00:00"/>
    <x v="3"/>
    <s v="2025"/>
    <n v="5"/>
    <s v="Q-2"/>
    <x v="5"/>
    <x v="3"/>
    <n v="2500"/>
    <n v="850000"/>
    <n v="3"/>
    <x v="3"/>
    <x v="1"/>
    <x v="1"/>
    <n v="2125000000"/>
    <x v="0"/>
  </r>
  <r>
    <s v="APX1348"/>
    <s v="APX1348"/>
    <d v="2025-10-11T00:00:00"/>
    <d v="2025-10-11T00:00:00"/>
    <x v="4"/>
    <s v="2025"/>
    <n v="10"/>
    <s v="Q-4"/>
    <x v="4"/>
    <x v="0"/>
    <n v="110"/>
    <n v="6500"/>
    <n v="10"/>
    <x v="3"/>
    <x v="0"/>
    <x v="1"/>
    <n v="715000"/>
    <x v="1"/>
  </r>
  <r>
    <s v="APX1015"/>
    <s v="APX1015"/>
    <d v="2025-01-13T00:00:00"/>
    <d v="2025-01-13T00:00:00"/>
    <x v="8"/>
    <s v="2025"/>
    <n v="1"/>
    <s v="Q-1"/>
    <x v="3"/>
    <x v="0"/>
    <n v="12"/>
    <n v="800"/>
    <n v="95"/>
    <x v="1"/>
    <x v="2"/>
    <x v="1"/>
    <n v="9600"/>
    <x v="1"/>
  </r>
  <r>
    <s v="APX1183"/>
    <s v="APX1183"/>
    <d v="2025-08-31T00:00:00"/>
    <d v="2025-08-31T00:00:00"/>
    <x v="7"/>
    <s v="2025"/>
    <n v="8"/>
    <s v="Q-3"/>
    <x v="3"/>
    <x v="0"/>
    <n v="144"/>
    <n v="800"/>
    <n v="3"/>
    <x v="0"/>
    <x v="1"/>
    <x v="1"/>
    <n v="115200"/>
    <x v="0"/>
  </r>
  <r>
    <n v="1404"/>
    <s v="APX1404"/>
    <d v="2025-09-10T00:00:00"/>
    <d v="2025-09-10T00:00:00"/>
    <x v="11"/>
    <s v="2025"/>
    <n v="9"/>
    <s v="Q-4"/>
    <x v="3"/>
    <x v="4"/>
    <n v="30"/>
    <n v="11534"/>
    <n v="3"/>
    <x v="3"/>
    <x v="1"/>
    <x v="1"/>
    <n v="346020"/>
    <x v="0"/>
  </r>
  <r>
    <s v="APX1017"/>
    <s v="APX1017"/>
    <s v="Jan 27 2025"/>
    <d v="2025-01-27T00:00:00"/>
    <x v="8"/>
    <s v="2025"/>
    <n v="1"/>
    <s v="Q-1"/>
    <x v="4"/>
    <x v="2"/>
    <n v="12"/>
    <n v="42905"/>
    <n v="95"/>
    <x v="4"/>
    <x v="2"/>
    <x v="0"/>
    <n v="514860"/>
    <x v="1"/>
  </r>
  <r>
    <s v="APX1334"/>
    <s v="APX1334"/>
    <s v="Jul 29 2025"/>
    <d v="2025-07-29T00:00:00"/>
    <x v="9"/>
    <s v="2025"/>
    <n v="7"/>
    <s v="Q-3"/>
    <x v="0"/>
    <x v="1"/>
    <n v="30"/>
    <n v="44651"/>
    <n v="3"/>
    <x v="4"/>
    <x v="1"/>
    <x v="2"/>
    <n v="1339530"/>
    <x v="0"/>
  </r>
  <r>
    <s v="APX1312"/>
    <s v="APX1312"/>
    <d v="2025-05-26T00:00:00"/>
    <d v="2025-05-26T00:00:00"/>
    <x v="3"/>
    <s v="2025"/>
    <n v="5"/>
    <s v="Q-2"/>
    <x v="4"/>
    <x v="5"/>
    <n v="30"/>
    <n v="850000"/>
    <n v="95"/>
    <x v="3"/>
    <x v="1"/>
    <x v="1"/>
    <n v="25500000"/>
    <x v="1"/>
  </r>
  <r>
    <s v="APX1182"/>
    <s v="APX1182"/>
    <d v="2025-10-20T00:00:00"/>
    <d v="2025-10-20T00:00:00"/>
    <x v="4"/>
    <s v="2025"/>
    <n v="10"/>
    <s v="Q-4"/>
    <x v="5"/>
    <x v="0"/>
    <n v="51"/>
    <n v="800"/>
    <n v="3"/>
    <x v="2"/>
    <x v="0"/>
    <x v="2"/>
    <n v="40800"/>
    <x v="0"/>
  </r>
  <r>
    <s v="APX1347"/>
    <s v="APX1347"/>
    <d v="2025-04-04T00:00:00"/>
    <d v="2025-04-04T00:00:00"/>
    <x v="0"/>
    <s v="2025"/>
    <n v="4"/>
    <s v="Q-2"/>
    <x v="0"/>
    <x v="0"/>
    <n v="172"/>
    <n v="800"/>
    <n v="3"/>
    <x v="3"/>
    <x v="0"/>
    <x v="2"/>
    <n v="137600"/>
    <x v="0"/>
  </r>
  <r>
    <s v="APX1110"/>
    <s v="APX1110"/>
    <s v="Mar 19 2025"/>
    <d v="2025-03-19T00:00:00"/>
    <x v="1"/>
    <s v="2025"/>
    <n v="3"/>
    <s v="Q-1"/>
    <x v="4"/>
    <x v="5"/>
    <n v="120"/>
    <n v="6500"/>
    <n v="3"/>
    <x v="3"/>
    <x v="0"/>
    <x v="1"/>
    <n v="780000"/>
    <x v="0"/>
  </r>
  <r>
    <s v="APX1350"/>
    <s v="APX1350"/>
    <s v="Aug 02 2025"/>
    <d v="2025-08-02T00:00:00"/>
    <x v="7"/>
    <s v="2025"/>
    <n v="8"/>
    <s v="Q-3"/>
    <x v="5"/>
    <x v="0"/>
    <n v="12"/>
    <n v="33822"/>
    <n v="95"/>
    <x v="3"/>
    <x v="0"/>
    <x v="1"/>
    <n v="405864"/>
    <x v="1"/>
  </r>
  <r>
    <s v="APX1259"/>
    <s v="APX1259"/>
    <d v="2025-06-24T00:00:00"/>
    <d v="2025-06-24T00:00:00"/>
    <x v="2"/>
    <s v="2025"/>
    <n v="6"/>
    <s v="Q-2"/>
    <x v="0"/>
    <x v="0"/>
    <n v="30"/>
    <n v="6333"/>
    <n v="3"/>
    <x v="0"/>
    <x v="1"/>
    <x v="1"/>
    <n v="189990"/>
    <x v="0"/>
  </r>
  <r>
    <s v="APX1316"/>
    <s v="APX1316"/>
    <d v="2025-10-09T00:00:00"/>
    <d v="2025-10-09T00:00:00"/>
    <x v="4"/>
    <s v="2025"/>
    <n v="10"/>
    <s v="Q-4"/>
    <x v="4"/>
    <x v="0"/>
    <n v="2500"/>
    <n v="6500"/>
    <n v="11"/>
    <x v="1"/>
    <x v="2"/>
    <x v="3"/>
    <n v="16250000"/>
    <x v="1"/>
  </r>
  <r>
    <s v="APX1145"/>
    <s v="APX1145"/>
    <d v="2025-09-08T00:00:00"/>
    <d v="2025-09-08T00:00:00"/>
    <x v="11"/>
    <s v="2025"/>
    <n v="9"/>
    <s v="Q-4"/>
    <x v="5"/>
    <x v="0"/>
    <n v="30"/>
    <n v="800"/>
    <n v="95"/>
    <x v="1"/>
    <x v="1"/>
    <x v="0"/>
    <n v="24000"/>
    <x v="1"/>
  </r>
  <r>
    <s v="APX1411"/>
    <s v="APX1411"/>
    <d v="2025-03-17T00:00:00"/>
    <d v="2025-03-17T00:00:00"/>
    <x v="1"/>
    <s v="2025"/>
    <n v="3"/>
    <s v="Q-1"/>
    <x v="1"/>
    <x v="2"/>
    <n v="85"/>
    <n v="850000"/>
    <n v="7"/>
    <x v="4"/>
    <x v="1"/>
    <x v="1"/>
    <n v="72250000"/>
    <x v="2"/>
  </r>
  <r>
    <s v="APX1014"/>
    <s v="APX1014"/>
    <d v="2025-06-02T00:00:00"/>
    <d v="2025-06-02T00:00:00"/>
    <x v="2"/>
    <s v="2025"/>
    <n v="6"/>
    <s v="Q-2"/>
    <x v="0"/>
    <x v="2"/>
    <n v="82"/>
    <n v="4500"/>
    <n v="95"/>
    <x v="3"/>
    <x v="0"/>
    <x v="1"/>
    <n v="369000"/>
    <x v="1"/>
  </r>
  <r>
    <n v="1161"/>
    <s v="APX1161"/>
    <d v="2025-05-11T00:00:00"/>
    <d v="2025-05-11T00:00:00"/>
    <x v="3"/>
    <s v="2025"/>
    <n v="5"/>
    <s v="Q-2"/>
    <x v="2"/>
    <x v="4"/>
    <n v="2500"/>
    <n v="6500"/>
    <n v="3"/>
    <x v="2"/>
    <x v="1"/>
    <x v="1"/>
    <n v="16250000"/>
    <x v="0"/>
  </r>
  <r>
    <s v="APX1005"/>
    <s v="APX1005"/>
    <s v="Mar 24 2025"/>
    <d v="2025-03-24T00:00:00"/>
    <x v="1"/>
    <s v="2025"/>
    <n v="3"/>
    <s v="Q-1"/>
    <x v="0"/>
    <x v="0"/>
    <n v="2500"/>
    <n v="38024"/>
    <n v="10"/>
    <x v="2"/>
    <x v="1"/>
    <x v="1"/>
    <n v="95060000"/>
    <x v="1"/>
  </r>
  <r>
    <s v="APX1296"/>
    <s v="APX1296"/>
    <d v="2025-11-01T00:00:00"/>
    <d v="2025-11-01T00:00:00"/>
    <x v="6"/>
    <s v="2025"/>
    <n v="11"/>
    <s v="Q-4"/>
    <x v="4"/>
    <x v="3"/>
    <n v="30"/>
    <n v="800"/>
    <n v="3"/>
    <x v="3"/>
    <x v="0"/>
    <x v="3"/>
    <n v="24000"/>
    <x v="0"/>
  </r>
  <r>
    <s v="APX1298"/>
    <s v="APX1298"/>
    <d v="2025-05-07T00:00:00"/>
    <d v="2025-05-07T00:00:00"/>
    <x v="3"/>
    <s v="2025"/>
    <n v="5"/>
    <s v="Q-2"/>
    <x v="1"/>
    <x v="0"/>
    <n v="12"/>
    <n v="800"/>
    <n v="14"/>
    <x v="4"/>
    <x v="1"/>
    <x v="1"/>
    <n v="9600"/>
    <x v="1"/>
  </r>
  <r>
    <s v="APX1089"/>
    <s v="APX1089"/>
    <d v="2025-10-26T00:00:00"/>
    <d v="2025-10-26T00:00:00"/>
    <x v="4"/>
    <s v="2025"/>
    <n v="10"/>
    <s v="Q-4"/>
    <x v="5"/>
    <x v="3"/>
    <n v="2500"/>
    <n v="850000"/>
    <n v="3"/>
    <x v="3"/>
    <x v="2"/>
    <x v="2"/>
    <n v="2125000000"/>
    <x v="0"/>
  </r>
  <r>
    <s v="APX1228"/>
    <s v="APX1228"/>
    <d v="2025-08-08T00:00:00"/>
    <d v="2025-08-08T00:00:00"/>
    <x v="7"/>
    <s v="2025"/>
    <n v="8"/>
    <s v="Q-3"/>
    <x v="3"/>
    <x v="2"/>
    <n v="12"/>
    <n v="12763"/>
    <n v="95"/>
    <x v="3"/>
    <x v="2"/>
    <x v="1"/>
    <n v="153156"/>
    <x v="1"/>
  </r>
  <r>
    <s v="APX1364"/>
    <s v="APX1364"/>
    <d v="2025-07-31T00:00:00"/>
    <d v="2025-07-31T00:00:00"/>
    <x v="9"/>
    <s v="2025"/>
    <n v="7"/>
    <s v="Q-3"/>
    <x v="4"/>
    <x v="3"/>
    <n v="5"/>
    <n v="9826"/>
    <n v="95"/>
    <x v="3"/>
    <x v="2"/>
    <x v="1"/>
    <n v="49130"/>
    <x v="1"/>
  </r>
  <r>
    <s v="APX1076"/>
    <s v="APX1076"/>
    <d v="2025-05-06T00:00:00"/>
    <d v="2025-05-06T00:00:00"/>
    <x v="3"/>
    <s v="2025"/>
    <n v="5"/>
    <s v="Q-2"/>
    <x v="2"/>
    <x v="0"/>
    <n v="12"/>
    <n v="800"/>
    <n v="9"/>
    <x v="3"/>
    <x v="2"/>
    <x v="3"/>
    <n v="9600"/>
    <x v="1"/>
  </r>
  <r>
    <s v="APX1336"/>
    <s v="APX1336"/>
    <s v="Nov 30 2025"/>
    <d v="2025-11-30T00:00:00"/>
    <x v="6"/>
    <s v="2025"/>
    <n v="11"/>
    <s v="Q-4"/>
    <x v="3"/>
    <x v="0"/>
    <n v="12"/>
    <n v="6500"/>
    <n v="6"/>
    <x v="1"/>
    <x v="0"/>
    <x v="1"/>
    <n v="78000"/>
    <x v="2"/>
  </r>
  <r>
    <n v="1022"/>
    <s v="APX1022"/>
    <d v="2025-09-08T00:00:00"/>
    <d v="2025-09-08T00:00:00"/>
    <x v="11"/>
    <s v="2025"/>
    <n v="9"/>
    <s v="Q-4"/>
    <x v="3"/>
    <x v="0"/>
    <n v="39"/>
    <n v="800"/>
    <n v="95"/>
    <x v="2"/>
    <x v="0"/>
    <x v="1"/>
    <n v="31200"/>
    <x v="1"/>
  </r>
  <r>
    <s v="APX1261"/>
    <s v="APX1261"/>
    <d v="2025-05-02T00:00:00"/>
    <d v="2025-05-02T00:00:00"/>
    <x v="3"/>
    <s v="2025"/>
    <n v="5"/>
    <s v="Q-2"/>
    <x v="1"/>
    <x v="5"/>
    <n v="115"/>
    <n v="850000"/>
    <n v="95"/>
    <x v="0"/>
    <x v="2"/>
    <x v="1"/>
    <n v="97750000"/>
    <x v="1"/>
  </r>
  <r>
    <s v="APX1093"/>
    <s v="APX1093"/>
    <d v="2025-04-09T00:00:00"/>
    <d v="2025-04-09T00:00:00"/>
    <x v="0"/>
    <s v="2025"/>
    <n v="4"/>
    <s v="Q-2"/>
    <x v="3"/>
    <x v="2"/>
    <n v="2500"/>
    <n v="800"/>
    <n v="95"/>
    <x v="3"/>
    <x v="1"/>
    <x v="1"/>
    <n v="2000000"/>
    <x v="1"/>
  </r>
  <r>
    <s v="APX1348"/>
    <s v="APX1348"/>
    <s v="May 03 2025"/>
    <d v="2025-05-03T00:00:00"/>
    <x v="3"/>
    <s v="2025"/>
    <n v="5"/>
    <s v="Q-2"/>
    <x v="5"/>
    <x v="0"/>
    <n v="30"/>
    <n v="850000"/>
    <n v="7"/>
    <x v="0"/>
    <x v="1"/>
    <x v="1"/>
    <n v="25500000"/>
    <x v="2"/>
  </r>
  <r>
    <s v="APX1261"/>
    <s v="APX1261"/>
    <s v="Sep 18 2025"/>
    <d v="2025-09-18T00:00:00"/>
    <x v="11"/>
    <s v="2025"/>
    <n v="9"/>
    <s v="Q-4"/>
    <x v="4"/>
    <x v="4"/>
    <n v="12"/>
    <n v="800"/>
    <n v="12"/>
    <x v="3"/>
    <x v="1"/>
    <x v="3"/>
    <n v="9600"/>
    <x v="1"/>
  </r>
  <r>
    <s v="APX1238"/>
    <s v="APX1238"/>
    <s v="Mar 03 2025"/>
    <d v="2025-03-03T00:00:00"/>
    <x v="1"/>
    <s v="2025"/>
    <n v="3"/>
    <s v="Q-1"/>
    <x v="4"/>
    <x v="3"/>
    <n v="30"/>
    <n v="850000"/>
    <n v="3"/>
    <x v="3"/>
    <x v="1"/>
    <x v="3"/>
    <n v="25500000"/>
    <x v="0"/>
  </r>
  <r>
    <n v="1342"/>
    <s v="APX1342"/>
    <d v="2025-05-29T00:00:00"/>
    <d v="2025-05-29T00:00:00"/>
    <x v="3"/>
    <s v="2025"/>
    <n v="5"/>
    <s v="Q-2"/>
    <x v="2"/>
    <x v="5"/>
    <n v="12"/>
    <n v="800"/>
    <n v="13"/>
    <x v="3"/>
    <x v="2"/>
    <x v="1"/>
    <n v="9600"/>
    <x v="1"/>
  </r>
  <r>
    <s v="APX1246"/>
    <s v="APX1246"/>
    <d v="2025-07-22T00:00:00"/>
    <d v="2025-07-22T00:00:00"/>
    <x v="9"/>
    <s v="2025"/>
    <n v="7"/>
    <s v="Q-3"/>
    <x v="4"/>
    <x v="5"/>
    <n v="2500"/>
    <n v="6500"/>
    <n v="95"/>
    <x v="3"/>
    <x v="1"/>
    <x v="1"/>
    <n v="16250000"/>
    <x v="1"/>
  </r>
  <r>
    <s v="APX1347"/>
    <s v="APX1347"/>
    <s v="Oct 28 2025"/>
    <d v="2025-10-28T00:00:00"/>
    <x v="4"/>
    <s v="2025"/>
    <n v="10"/>
    <s v="Q-4"/>
    <x v="3"/>
    <x v="5"/>
    <n v="22"/>
    <n v="4500"/>
    <n v="95"/>
    <x v="1"/>
    <x v="1"/>
    <x v="1"/>
    <n v="99000"/>
    <x v="1"/>
  </r>
  <r>
    <s v="APX1406"/>
    <s v="APX1406"/>
    <s v="Nov 26 2025"/>
    <d v="2025-11-26T00:00:00"/>
    <x v="6"/>
    <s v="2025"/>
    <n v="11"/>
    <s v="Q-4"/>
    <x v="4"/>
    <x v="3"/>
    <n v="2500"/>
    <n v="850000"/>
    <n v="3"/>
    <x v="4"/>
    <x v="0"/>
    <x v="1"/>
    <n v="2125000000"/>
    <x v="0"/>
  </r>
  <r>
    <n v="1393"/>
    <s v="APX1393"/>
    <d v="2025-08-01T00:00:00"/>
    <d v="2025-08-01T00:00:00"/>
    <x v="7"/>
    <s v="2025"/>
    <n v="8"/>
    <s v="Q-3"/>
    <x v="1"/>
    <x v="1"/>
    <n v="30"/>
    <n v="800"/>
    <n v="3"/>
    <x v="3"/>
    <x v="2"/>
    <x v="1"/>
    <n v="24000"/>
    <x v="0"/>
  </r>
  <r>
    <s v="APX1052"/>
    <s v="APX1052"/>
    <s v="Jul 29 2025"/>
    <d v="2025-07-29T00:00:00"/>
    <x v="9"/>
    <s v="2025"/>
    <n v="7"/>
    <s v="Q-3"/>
    <x v="3"/>
    <x v="0"/>
    <n v="12"/>
    <n v="800"/>
    <n v="95"/>
    <x v="1"/>
    <x v="2"/>
    <x v="1"/>
    <n v="9600"/>
    <x v="1"/>
  </r>
  <r>
    <s v="APX1375"/>
    <s v="APX1375"/>
    <d v="2025-12-17T00:00:00"/>
    <d v="2025-12-17T00:00:00"/>
    <x v="5"/>
    <s v="2025"/>
    <n v="12"/>
    <s v="Q-4"/>
    <x v="3"/>
    <x v="4"/>
    <n v="12"/>
    <n v="35648"/>
    <n v="3"/>
    <x v="0"/>
    <x v="1"/>
    <x v="1"/>
    <n v="427776"/>
    <x v="0"/>
  </r>
  <r>
    <s v="APX1254"/>
    <s v="APX1254"/>
    <d v="2025-08-14T00:00:00"/>
    <d v="2025-08-14T00:00:00"/>
    <x v="7"/>
    <s v="2025"/>
    <n v="8"/>
    <s v="Q-3"/>
    <x v="3"/>
    <x v="5"/>
    <n v="119"/>
    <n v="4500"/>
    <n v="95"/>
    <x v="1"/>
    <x v="2"/>
    <x v="1"/>
    <n v="535500"/>
    <x v="1"/>
  </r>
  <r>
    <s v="APX1394"/>
    <s v="APX1394"/>
    <d v="2025-06-22T00:00:00"/>
    <d v="2025-06-22T00:00:00"/>
    <x v="2"/>
    <s v="2025"/>
    <n v="6"/>
    <s v="Q-2"/>
    <x v="5"/>
    <x v="3"/>
    <n v="2500"/>
    <n v="6500"/>
    <n v="95"/>
    <x v="1"/>
    <x v="2"/>
    <x v="1"/>
    <n v="16250000"/>
    <x v="1"/>
  </r>
  <r>
    <s v="APX1001"/>
    <s v="APX1001"/>
    <d v="2025-11-24T00:00:00"/>
    <d v="2025-11-24T00:00:00"/>
    <x v="6"/>
    <s v="2025"/>
    <n v="11"/>
    <s v="Q-4"/>
    <x v="4"/>
    <x v="4"/>
    <n v="12"/>
    <n v="4500"/>
    <n v="3"/>
    <x v="1"/>
    <x v="1"/>
    <x v="1"/>
    <n v="54000"/>
    <x v="0"/>
  </r>
  <r>
    <s v="APX1149"/>
    <s v="APX1149"/>
    <d v="2025-10-09T00:00:00"/>
    <d v="2025-10-09T00:00:00"/>
    <x v="4"/>
    <s v="2025"/>
    <n v="10"/>
    <s v="Q-4"/>
    <x v="4"/>
    <x v="0"/>
    <n v="2500"/>
    <n v="25111"/>
    <n v="95"/>
    <x v="3"/>
    <x v="0"/>
    <x v="2"/>
    <n v="62777500"/>
    <x v="1"/>
  </r>
  <r>
    <s v="APX1277"/>
    <s v="APX1277"/>
    <d v="2025-12-27T00:00:00"/>
    <d v="2025-12-27T00:00:00"/>
    <x v="5"/>
    <s v="2025"/>
    <n v="12"/>
    <s v="Q-4"/>
    <x v="2"/>
    <x v="4"/>
    <n v="30"/>
    <n v="48431"/>
    <n v="95"/>
    <x v="3"/>
    <x v="1"/>
    <x v="1"/>
    <n v="1452930"/>
    <x v="1"/>
  </r>
  <r>
    <s v="APX1055"/>
    <s v="APX1055"/>
    <d v="2025-07-16T00:00:00"/>
    <d v="2025-07-16T00:00:00"/>
    <x v="9"/>
    <s v="2025"/>
    <n v="7"/>
    <s v="Q-3"/>
    <x v="4"/>
    <x v="0"/>
    <n v="2500"/>
    <n v="4500"/>
    <n v="7"/>
    <x v="0"/>
    <x v="1"/>
    <x v="0"/>
    <n v="11250000"/>
    <x v="2"/>
  </r>
  <r>
    <s v="APX1141"/>
    <s v="APX1141"/>
    <d v="2025-08-14T00:00:00"/>
    <d v="2025-08-14T00:00:00"/>
    <x v="7"/>
    <s v="2025"/>
    <n v="8"/>
    <s v="Q-3"/>
    <x v="3"/>
    <x v="3"/>
    <n v="2500"/>
    <n v="25835"/>
    <n v="7"/>
    <x v="3"/>
    <x v="0"/>
    <x v="3"/>
    <n v="64587500"/>
    <x v="2"/>
  </r>
  <r>
    <s v="APX1122"/>
    <s v="APX1122"/>
    <s v="Jun 19 2025"/>
    <d v="2025-06-19T00:00:00"/>
    <x v="2"/>
    <s v="2025"/>
    <n v="6"/>
    <s v="Q-2"/>
    <x v="5"/>
    <x v="3"/>
    <n v="30"/>
    <n v="4500"/>
    <n v="3"/>
    <x v="1"/>
    <x v="1"/>
    <x v="1"/>
    <n v="135000"/>
    <x v="0"/>
  </r>
  <r>
    <s v="APX1153"/>
    <s v="APX1153"/>
    <d v="2025-08-22T00:00:00"/>
    <d v="2025-08-22T00:00:00"/>
    <x v="7"/>
    <s v="2025"/>
    <n v="8"/>
    <s v="Q-3"/>
    <x v="3"/>
    <x v="0"/>
    <n v="30"/>
    <n v="4500"/>
    <n v="3"/>
    <x v="3"/>
    <x v="0"/>
    <x v="2"/>
    <n v="135000"/>
    <x v="0"/>
  </r>
  <r>
    <s v="APX1158"/>
    <s v="APX1158"/>
    <d v="2025-10-25T00:00:00"/>
    <d v="2025-10-25T00:00:00"/>
    <x v="4"/>
    <s v="2025"/>
    <n v="10"/>
    <s v="Q-4"/>
    <x v="1"/>
    <x v="2"/>
    <n v="2500"/>
    <n v="800"/>
    <n v="3"/>
    <x v="0"/>
    <x v="2"/>
    <x v="1"/>
    <n v="2000000"/>
    <x v="0"/>
  </r>
  <r>
    <s v="APX1104"/>
    <s v="APX1104"/>
    <d v="2025-11-26T00:00:00"/>
    <d v="2025-11-26T00:00:00"/>
    <x v="6"/>
    <s v="2025"/>
    <n v="11"/>
    <s v="Q-4"/>
    <x v="1"/>
    <x v="0"/>
    <n v="53"/>
    <n v="800"/>
    <n v="95"/>
    <x v="3"/>
    <x v="0"/>
    <x v="3"/>
    <n v="42400"/>
    <x v="1"/>
  </r>
  <r>
    <s v="APX1227"/>
    <s v="APX1227"/>
    <d v="2025-03-11T00:00:00"/>
    <d v="2025-03-11T00:00:00"/>
    <x v="1"/>
    <s v="2025"/>
    <n v="3"/>
    <s v="Q-1"/>
    <x v="0"/>
    <x v="0"/>
    <n v="30"/>
    <n v="28998"/>
    <n v="95"/>
    <x v="2"/>
    <x v="2"/>
    <x v="2"/>
    <n v="869940"/>
    <x v="1"/>
  </r>
  <r>
    <s v="APX1204"/>
    <s v="APX1204"/>
    <d v="2025-03-27T00:00:00"/>
    <d v="2025-03-27T00:00:00"/>
    <x v="1"/>
    <s v="2025"/>
    <n v="3"/>
    <s v="Q-1"/>
    <x v="3"/>
    <x v="0"/>
    <n v="30"/>
    <n v="4500"/>
    <n v="3"/>
    <x v="0"/>
    <x v="1"/>
    <x v="1"/>
    <n v="135000"/>
    <x v="0"/>
  </r>
  <r>
    <s v="APX1007"/>
    <s v="APX1007"/>
    <s v="Mar 24 2025"/>
    <d v="2025-03-24T00:00:00"/>
    <x v="1"/>
    <s v="2025"/>
    <n v="3"/>
    <s v="Q-1"/>
    <x v="3"/>
    <x v="5"/>
    <n v="30"/>
    <n v="850000"/>
    <n v="3"/>
    <x v="1"/>
    <x v="1"/>
    <x v="1"/>
    <n v="25500000"/>
    <x v="0"/>
  </r>
  <r>
    <s v="APX1208"/>
    <s v="APX1208"/>
    <d v="2025-12-07T00:00:00"/>
    <d v="2025-12-07T00:00:00"/>
    <x v="5"/>
    <s v="2025"/>
    <n v="12"/>
    <s v="Q-4"/>
    <x v="1"/>
    <x v="0"/>
    <n v="33"/>
    <n v="2322"/>
    <n v="3"/>
    <x v="0"/>
    <x v="1"/>
    <x v="1"/>
    <n v="76626"/>
    <x v="0"/>
  </r>
  <r>
    <s v="APX1246"/>
    <s v="APX1246"/>
    <s v="Dec 21 2025"/>
    <d v="2025-12-21T00:00:00"/>
    <x v="5"/>
    <s v="2025"/>
    <n v="12"/>
    <s v="Q-4"/>
    <x v="3"/>
    <x v="5"/>
    <n v="112"/>
    <n v="4500"/>
    <n v="5"/>
    <x v="0"/>
    <x v="1"/>
    <x v="1"/>
    <n v="504000"/>
    <x v="2"/>
  </r>
  <r>
    <s v="APX1184"/>
    <s v="APX1184"/>
    <d v="2025-09-28T00:00:00"/>
    <d v="2025-09-28T00:00:00"/>
    <x v="11"/>
    <s v="2025"/>
    <n v="9"/>
    <s v="Q-4"/>
    <x v="4"/>
    <x v="0"/>
    <n v="12"/>
    <n v="850000"/>
    <n v="3"/>
    <x v="1"/>
    <x v="1"/>
    <x v="1"/>
    <n v="10200000"/>
    <x v="0"/>
  </r>
  <r>
    <s v="APX1081"/>
    <s v="APX1081"/>
    <d v="2025-11-15T00:00:00"/>
    <d v="2025-11-15T00:00:00"/>
    <x v="6"/>
    <s v="2025"/>
    <n v="11"/>
    <s v="Q-4"/>
    <x v="5"/>
    <x v="5"/>
    <n v="2500"/>
    <n v="800"/>
    <n v="8"/>
    <x v="3"/>
    <x v="2"/>
    <x v="1"/>
    <n v="2000000"/>
    <x v="1"/>
  </r>
  <r>
    <s v="APX1419"/>
    <s v="APX1419"/>
    <d v="2025-12-24T00:00:00"/>
    <d v="2025-12-24T00:00:00"/>
    <x v="5"/>
    <s v="2025"/>
    <n v="12"/>
    <s v="Q-4"/>
    <x v="5"/>
    <x v="2"/>
    <n v="166"/>
    <n v="850000"/>
    <n v="95"/>
    <x v="3"/>
    <x v="0"/>
    <x v="1"/>
    <n v="141100000"/>
    <x v="1"/>
  </r>
  <r>
    <s v="APX1064"/>
    <s v="APX1064"/>
    <d v="2025-06-17T00:00:00"/>
    <d v="2025-06-17T00:00:00"/>
    <x v="2"/>
    <s v="2025"/>
    <n v="6"/>
    <s v="Q-2"/>
    <x v="3"/>
    <x v="0"/>
    <n v="30"/>
    <n v="4500"/>
    <n v="6"/>
    <x v="3"/>
    <x v="1"/>
    <x v="1"/>
    <n v="135000"/>
    <x v="2"/>
  </r>
  <r>
    <s v="APX1022"/>
    <s v="APX1022"/>
    <d v="2025-03-22T00:00:00"/>
    <d v="2025-03-22T00:00:00"/>
    <x v="1"/>
    <s v="2025"/>
    <n v="3"/>
    <s v="Q-1"/>
    <x v="4"/>
    <x v="0"/>
    <n v="2500"/>
    <n v="6500"/>
    <n v="95"/>
    <x v="1"/>
    <x v="1"/>
    <x v="2"/>
    <n v="16250000"/>
    <x v="1"/>
  </r>
  <r>
    <s v="APX1413"/>
    <s v="APX1413"/>
    <d v="2025-01-08T00:00:00"/>
    <d v="2025-01-08T00:00:00"/>
    <x v="8"/>
    <s v="2025"/>
    <n v="1"/>
    <s v="Q-1"/>
    <x v="2"/>
    <x v="5"/>
    <n v="12"/>
    <n v="4500"/>
    <n v="3"/>
    <x v="3"/>
    <x v="1"/>
    <x v="2"/>
    <n v="54000"/>
    <x v="0"/>
  </r>
  <r>
    <s v="APX1126"/>
    <s v="APX1126"/>
    <s v="Mar 18 2025"/>
    <d v="2025-03-18T00:00:00"/>
    <x v="1"/>
    <s v="2025"/>
    <n v="3"/>
    <s v="Q-1"/>
    <x v="1"/>
    <x v="5"/>
    <n v="2500"/>
    <n v="6500"/>
    <n v="3"/>
    <x v="3"/>
    <x v="1"/>
    <x v="1"/>
    <n v="16250000"/>
    <x v="0"/>
  </r>
  <r>
    <s v="APX1247"/>
    <s v="APX1247"/>
    <d v="2025-02-19T00:00:00"/>
    <d v="2025-02-19T00:00:00"/>
    <x v="10"/>
    <s v="2025"/>
    <n v="2"/>
    <s v="Q-1"/>
    <x v="2"/>
    <x v="1"/>
    <n v="12"/>
    <n v="6500"/>
    <n v="4"/>
    <x v="3"/>
    <x v="1"/>
    <x v="2"/>
    <n v="78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80FA87-D915-4029-B677-F3025B444AA2}"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S15:AW27" firstHeaderRow="0" firstDataRow="1" firstDataCol="1"/>
  <pivotFields count="18">
    <pivotField compact="0" outline="0" showAll="0"/>
    <pivotField dataField="1" compact="0" outline="0" showAll="0"/>
    <pivotField compact="0" outline="0" showAll="0"/>
    <pivotField compact="0" numFmtId="164" outline="0" showAll="0"/>
    <pivotField axis="axisRow" compact="0" outline="0" showAll="0">
      <items count="13">
        <item x="8"/>
        <item x="10"/>
        <item x="1"/>
        <item x="0"/>
        <item x="3"/>
        <item x="2"/>
        <item x="9"/>
        <item x="7"/>
        <item x="11"/>
        <item x="4"/>
        <item x="6"/>
        <item x="5"/>
        <item t="default"/>
      </items>
    </pivotField>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4"/>
  </rowFields>
  <rowItems count="12">
    <i>
      <x/>
    </i>
    <i>
      <x v="1"/>
    </i>
    <i>
      <x v="2"/>
    </i>
    <i>
      <x v="3"/>
    </i>
    <i>
      <x v="4"/>
    </i>
    <i>
      <x v="5"/>
    </i>
    <i>
      <x v="6"/>
    </i>
    <i>
      <x v="7"/>
    </i>
    <i>
      <x v="8"/>
    </i>
    <i>
      <x v="9"/>
    </i>
    <i>
      <x v="10"/>
    </i>
    <i>
      <x v="11"/>
    </i>
  </rowItems>
  <colFields count="1">
    <field x="-2"/>
  </colFields>
  <colItems count="4">
    <i>
      <x/>
    </i>
    <i i="1">
      <x v="1"/>
    </i>
    <i i="2">
      <x v="2"/>
    </i>
    <i i="3">
      <x v="3"/>
    </i>
  </colItems>
  <dataFields count="4">
    <dataField name="Sum of Total Sales" fld="16" baseField="0" baseItem="0" numFmtId="165"/>
    <dataField name="MoM Sales" fld="16" showDataAs="percentDiff" baseField="4" baseItem="1048828" numFmtId="167"/>
    <dataField name="Count of Order ID" fld="1" subtotal="count" showDataAs="percentDiff" baseField="4" baseItem="1048828" numFmtId="167"/>
    <dataField name="Count of Order ID2" fld="1" subtotal="count" baseField="4" baseItem="6"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F24A9062-0B3B-485A-98C5-87D835660F10}">
            <x14:pivotAreas count="1">
              <pivotArea type="data" outline="0" collapsedLevelsAreSubtotals="1" fieldPosition="0">
                <references count="1">
                  <reference field="4294967294" count="1" selected="0">
                    <x v="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B5CE3E-FFAE-457D-AFB5-3DE8A3883929}" name="PivotTable15"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CS14:CT20"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axis="axisRow" compact="0" outline="0"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9"/>
  </rowFields>
  <rowItems count="6">
    <i>
      <x v="1"/>
    </i>
    <i>
      <x v="4"/>
    </i>
    <i>
      <x/>
    </i>
    <i>
      <x v="3"/>
    </i>
    <i>
      <x v="2"/>
    </i>
    <i>
      <x v="5"/>
    </i>
  </rowItems>
  <colItems count="1">
    <i/>
  </colItems>
  <dataFields count="1">
    <dataField name="Sum of Total 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D143B6-4544-48AE-A4D7-C74FE3C55070}" name="PivotTable14" cacheId="0" applyNumberFormats="0" applyBorderFormats="0" applyFontFormats="0" applyPatternFormats="0" applyAlignmentFormats="0" applyWidthHeightFormats="1" dataCaption="Values" showMissing="0" updatedVersion="8" minRefreshableVersion="3" rowGrandTotals="0" colGrandTotals="0" itemPrintTitles="1" createdVersion="8" indent="0" compact="0" compactData="0" multipleFieldFilters="0">
  <location ref="CE15:CG27" firstHeaderRow="0" firstDataRow="1" firstDataCol="1"/>
  <pivotFields count="18">
    <pivotField compact="0" outline="0" showAll="0"/>
    <pivotField dataField="1" compact="0" outline="0" showAll="0"/>
    <pivotField compact="0" outline="0" showAll="0"/>
    <pivotField compact="0" numFmtId="164" outline="0" showAll="0"/>
    <pivotField axis="axisRow" compact="0" outline="0" showAll="0">
      <items count="13">
        <item x="8"/>
        <item x="10"/>
        <item x="1"/>
        <item x="0"/>
        <item x="3"/>
        <item x="2"/>
        <item x="9"/>
        <item x="7"/>
        <item x="11"/>
        <item x="4"/>
        <item x="6"/>
        <item x="5"/>
        <item t="default"/>
      </items>
    </pivotField>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name="Count of Order ID" fld="1" subtotal="count" baseField="0" baseItem="0"/>
    <dataField name="Sum of Total 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F147D-0C50-4802-850D-28ADEC70BF82}"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I15:BJ22"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axis="axisRow" compact="0" outline="0" showAll="0">
      <items count="7">
        <item x="4"/>
        <item x="3"/>
        <item x="0"/>
        <item x="2"/>
        <item x="1"/>
        <item x="5"/>
        <item t="default"/>
      </items>
    </pivotField>
    <pivotField compact="0" outline="0" showAll="0"/>
    <pivotField compact="0" outline="0" showAll="0"/>
    <pivotField compact="0" numFmtId="165" outline="0" showAll="0"/>
    <pivotField dataField="1"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pivotFields>
  <rowFields count="1">
    <field x="8"/>
  </rowFields>
  <rowItems count="7">
    <i>
      <x/>
    </i>
    <i>
      <x v="1"/>
    </i>
    <i>
      <x v="2"/>
    </i>
    <i>
      <x v="3"/>
    </i>
    <i>
      <x v="4"/>
    </i>
    <i>
      <x v="5"/>
    </i>
    <i t="grand">
      <x/>
    </i>
  </rowItems>
  <colItems count="1">
    <i/>
  </colItems>
  <dataFields count="1">
    <dataField name="Average of Delivery_Days" fld="12" subtotal="average" baseField="1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AC92EE-BB70-418B-BA52-31B0CD88B856}"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7:B18" firstHeaderRow="1" firstDataRow="1" firstDataCol="0"/>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Items count="1">
    <i/>
  </rowItems>
  <colItems count="1">
    <i/>
  </colItems>
  <dataFields count="1">
    <dataField name="Total_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B5684-CEAA-4B24-9C17-D5C5A1AE5698}" name="PivotTable24"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7">
  <location ref="EG12:EH17"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dataField="1" compact="0" outline="0" showAll="0"/>
    <pivotField axis="axisRow" compact="0" outline="0" showAll="0" sortType="descending">
      <items count="7">
        <item x="2"/>
        <item x="4"/>
        <item x="1"/>
        <item x="3"/>
        <item m="1" x="5"/>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pivotFields>
  <rowFields count="1">
    <field x="13"/>
  </rowFields>
  <rowItems count="5">
    <i>
      <x v="3"/>
    </i>
    <i>
      <x v="1"/>
    </i>
    <i>
      <x/>
    </i>
    <i>
      <x v="2"/>
    </i>
    <i>
      <x v="5"/>
    </i>
  </rowItems>
  <colItems count="1">
    <i/>
  </colItems>
  <dataFields count="1">
    <dataField name="Average of Delivery_Days" fld="12" subtotal="average" baseField="13"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D94286-50AA-4DB2-AEA2-48D984115319}"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B15:BC21"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dataField="1" compact="0" outline="0" showAll="0"/>
    <pivotField axis="axisRow" compact="0" outline="0" showAll="0">
      <items count="7">
        <item x="2"/>
        <item x="4"/>
        <item x="1"/>
        <item x="3"/>
        <item m="1" x="5"/>
        <item x="0"/>
        <item t="default"/>
      </items>
    </pivotField>
    <pivotField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pivotFields>
  <rowFields count="1">
    <field x="13"/>
  </rowFields>
  <rowItems count="6">
    <i>
      <x/>
    </i>
    <i>
      <x v="1"/>
    </i>
    <i>
      <x v="2"/>
    </i>
    <i>
      <x v="3"/>
    </i>
    <i>
      <x v="5"/>
    </i>
    <i t="grand">
      <x/>
    </i>
  </rowItems>
  <colItems count="1">
    <i/>
  </colItems>
  <dataFields count="1">
    <dataField name="Average of Delivery_Days" fld="12" subtotal="average" baseField="1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FE6A4D-4B95-4E4A-97F8-B09D7DC505C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L15:AM19" firstHeaderRow="1" firstDataRow="1" firstDataCol="1"/>
  <pivotFields count="18">
    <pivotField compact="0" outline="0" showAll="0"/>
    <pivotField dataField="1"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axis="axisRow" compact="0" outline="0"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compact="0" numFmtId="165" outline="0" showAll="0"/>
    <pivotField compact="0" outline="0" showAll="0"/>
  </pivotFields>
  <rowFields count="1">
    <field x="15"/>
  </rowFields>
  <rowItems count="4">
    <i>
      <x v="1"/>
    </i>
    <i>
      <x/>
    </i>
    <i>
      <x v="3"/>
    </i>
    <i>
      <x v="2"/>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10D29C-5DE1-48D3-8645-5820853E1800}"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P15:BQ22"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axis="axisRow" compact="0" outline="0" showAll="0">
      <items count="7">
        <item x="1"/>
        <item x="0"/>
        <item x="2"/>
        <item x="5"/>
        <item x="3"/>
        <item x="4"/>
        <item t="default"/>
      </items>
    </pivotField>
    <pivotField dataField="1"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pivotFields>
  <rowFields count="1">
    <field x="9"/>
  </rowFields>
  <rowItems count="7">
    <i>
      <x/>
    </i>
    <i>
      <x v="1"/>
    </i>
    <i>
      <x v="2"/>
    </i>
    <i>
      <x v="3"/>
    </i>
    <i>
      <x v="4"/>
    </i>
    <i>
      <x v="5"/>
    </i>
    <i t="grand">
      <x/>
    </i>
  </rowItems>
  <colItems count="1">
    <i/>
  </colItems>
  <dataFields count="1">
    <dataField name="Sum of Quantity" fld="10" baseField="9"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C9AAA0-2A82-4F16-BAB4-74D95B53931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15:Y19"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items count="5">
        <item x="3"/>
        <item x="1"/>
        <item x="0"/>
        <item x="2"/>
        <item t="default"/>
      </items>
    </pivotField>
    <pivotField dataField="1" compact="0" numFmtId="165" outline="0" showAll="0"/>
    <pivotField compact="0" outline="0" showAll="0"/>
  </pivotFields>
  <rowFields count="1">
    <field x="14"/>
  </rowFields>
  <rowItems count="4">
    <i>
      <x v="1"/>
    </i>
    <i>
      <x v="2"/>
    </i>
    <i>
      <x/>
    </i>
    <i t="grand">
      <x/>
    </i>
  </rowItems>
  <colItems count="1">
    <i/>
  </colItems>
  <dataFields count="1">
    <dataField name="Sum of Total 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B86CC4-B6DD-4DC0-8D81-27CD42E7F565}"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8:B39" firstHeaderRow="1" firstDataRow="1" firstDataCol="0"/>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dataField="1"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items count="4">
        <item x="0"/>
        <item x="1"/>
        <item x="2"/>
        <item t="default"/>
      </items>
    </pivotField>
  </pivotFields>
  <rowItems count="1">
    <i/>
  </rowItems>
  <colItems count="1">
    <i/>
  </colItems>
  <dataFields count="1">
    <dataField name="Average of Delivery_Days"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39472C-8AAF-485E-A379-8A057E28EBD3}"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W15:BX19" firstHeaderRow="1" firstDataRow="1" firstDataCol="1"/>
  <pivotFields count="18">
    <pivotField compact="0" outline="0" showAll="0"/>
    <pivotField dataField="1"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axis="axisRow"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pivotFields>
  <rowFields count="1">
    <field x="14"/>
  </rowFields>
  <rowItems count="4">
    <i>
      <x/>
    </i>
    <i>
      <x v="1"/>
    </i>
    <i>
      <x v="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867964-B253-46D7-99DC-1512D650898E}" name="PivotTable20"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2">
  <location ref="DL13:DM16"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compact="0" outline="0" showAll="0"/>
    <pivotField compact="0" outline="0" showAll="0">
      <items count="7">
        <item x="2"/>
        <item x="4"/>
        <item x="1"/>
        <item x="0"/>
        <item x="3"/>
        <item m="1" x="5"/>
        <item t="default"/>
      </items>
    </pivotField>
    <pivotField axis="axisRow"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14"/>
  </rowFields>
  <rowItems count="3">
    <i>
      <x/>
    </i>
    <i>
      <x v="1"/>
    </i>
    <i>
      <x v="2"/>
    </i>
  </rowItems>
  <colItems count="1">
    <i/>
  </colItems>
  <dataFields count="1">
    <dataField name="Sum of Tota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E545F1-AF90-4A15-9E64-61CAC4B606EE}" name="PivotTable21"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6">
  <location ref="DU12:DV17"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compact="0" outline="0" showAll="0"/>
    <pivotField axis="axisRow" compact="0" outline="0" showAll="0" sortType="descending">
      <items count="7">
        <item x="2"/>
        <item x="4"/>
        <item x="1"/>
        <item x="3"/>
        <item m="1" x="5"/>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13"/>
  </rowFields>
  <rowItems count="5">
    <i>
      <x v="3"/>
    </i>
    <i>
      <x/>
    </i>
    <i>
      <x v="2"/>
    </i>
    <i>
      <x v="5"/>
    </i>
    <i>
      <x v="1"/>
    </i>
  </rowItems>
  <colItems count="1">
    <i/>
  </colItems>
  <dataFields count="1">
    <dataField name="Sum of Total Sales" fld="16" baseField="0" baseItem="0" numFmtId="165"/>
  </dataFields>
  <chartFormats count="2">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575D8BD-CBE8-4389-8CA9-4B8ABA60955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15:R21"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compact="0" outline="0" showAll="0"/>
    <pivotField axis="axisRow" compact="0" outline="0" showAll="0" sortType="descending">
      <items count="7">
        <item x="2"/>
        <item x="4"/>
        <item x="1"/>
        <item x="3"/>
        <item m="1" x="5"/>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13"/>
  </rowFields>
  <rowItems count="6">
    <i>
      <x v="3"/>
    </i>
    <i>
      <x/>
    </i>
    <i>
      <x v="2"/>
    </i>
    <i>
      <x v="5"/>
    </i>
    <i>
      <x v="1"/>
    </i>
    <i t="grand">
      <x/>
    </i>
  </rowItems>
  <colItems count="1">
    <i/>
  </colItems>
  <dataFields count="1">
    <dataField name="Total_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F28384-BE81-40D5-874B-9E78D2584C40}"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7:B28" firstHeaderRow="1" firstDataRow="1" firstDataCol="0"/>
  <pivotFields count="18">
    <pivotField compact="0" outline="0" showAll="0"/>
    <pivotField dataField="1"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compact="0" numFmtId="165" outline="0" showAll="0"/>
    <pivotField compact="0" outline="0"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17089E-DC0D-45F6-AE89-6BB63E26B463}"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E15:AF22"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compact="0" outline="0" showAll="0"/>
    <pivotField axis="axisRow" compact="0" outline="0"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9"/>
  </rowFields>
  <rowItems count="7">
    <i>
      <x v="1"/>
    </i>
    <i>
      <x v="4"/>
    </i>
    <i>
      <x/>
    </i>
    <i>
      <x v="3"/>
    </i>
    <i>
      <x v="2"/>
    </i>
    <i>
      <x v="5"/>
    </i>
    <i t="grand">
      <x/>
    </i>
  </rowItems>
  <colItems count="1">
    <i/>
  </colItems>
  <dataFields count="1">
    <dataField name="Sum of Total 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6E87007-4C29-407D-9226-634D0F0CCA3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5:H22" firstHeaderRow="1" firstDataRow="1" firstDataCol="1"/>
  <pivotFields count="18">
    <pivotField compact="0" outline="0" showAll="0"/>
    <pivotField compact="0" outline="0" showAll="0"/>
    <pivotField compact="0" outline="0" showAll="0"/>
    <pivotField compact="0" numFmtId="164" outline="0" showAll="0"/>
    <pivotField compact="0" outline="0" showAll="0"/>
    <pivotField compact="0" outline="0" showAll="0"/>
    <pivotField compact="0" numFmtId="1" outline="0" showAll="0"/>
    <pivotField compact="0" outline="0" showAll="0"/>
    <pivotField axis="axisRow" compact="0" outline="0" showAll="0" sortType="descending">
      <items count="7">
        <item x="4"/>
        <item x="3"/>
        <item x="0"/>
        <item x="2"/>
        <item x="1"/>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compact="0" outline="0" showAll="0"/>
    <pivotField compact="0" outline="0" showAll="0">
      <items count="7">
        <item x="2"/>
        <item x="4"/>
        <item x="1"/>
        <item x="0"/>
        <item x="3"/>
        <item m="1" x="5"/>
        <item t="default"/>
      </items>
    </pivotField>
    <pivotField compact="0" outline="0" showAll="0">
      <items count="4">
        <item x="2"/>
        <item x="1"/>
        <item x="0"/>
        <item t="default"/>
      </items>
    </pivotField>
    <pivotField compact="0" outline="0" showAll="0">
      <items count="5">
        <item x="3"/>
        <item x="1"/>
        <item x="0"/>
        <item x="2"/>
        <item t="default"/>
      </items>
    </pivotField>
    <pivotField dataField="1" compact="0" numFmtId="165" outline="0" showAll="0"/>
    <pivotField compact="0" outline="0" showAll="0"/>
  </pivotFields>
  <rowFields count="1">
    <field x="8"/>
  </rowFields>
  <rowItems count="7">
    <i>
      <x v="1"/>
    </i>
    <i>
      <x/>
    </i>
    <i>
      <x v="5"/>
    </i>
    <i>
      <x v="3"/>
    </i>
    <i>
      <x v="4"/>
    </i>
    <i>
      <x v="2"/>
    </i>
    <i t="grand">
      <x/>
    </i>
  </rowItems>
  <colItems count="1">
    <i/>
  </colItems>
  <dataFields count="1">
    <dataField name="Total_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C640A82-9AD8-4E14-9383-59128B33AC96}" sourceName="Order_Status">
  <pivotTables>
    <pivotTable tabId="4" name="PivotTable24"/>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20"/>
    <pivotTable tabId="4" name="PivotTable21"/>
    <pivotTable tabId="4" name="PivotTable3"/>
    <pivotTable tabId="4" name="PivotTable4"/>
    <pivotTable tabId="4" name="PivotTable6"/>
    <pivotTable tabId="4" name="PivotTable7"/>
    <pivotTable tabId="4" name="PivotTable8"/>
    <pivotTable tabId="4" name="PivotTable9"/>
  </pivotTables>
  <data>
    <tabular pivotCacheId="77399956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3ED9B283-B5D7-46FF-88E0-5E44F3D135B3}" sourceName="Customer_Region">
  <pivotTables>
    <pivotTable tabId="4" name="PivotTable24"/>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20"/>
    <pivotTable tabId="4" name="PivotTable21"/>
    <pivotTable tabId="4" name="PivotTable3"/>
    <pivotTable tabId="4" name="PivotTable4"/>
    <pivotTable tabId="4" name="PivotTable5"/>
    <pivotTable tabId="4" name="PivotTable6"/>
    <pivotTable tabId="4" name="PivotTable7"/>
    <pivotTable tabId="4" name="PivotTable8"/>
    <pivotTable tabId="4" name="PivotTable9"/>
  </pivotTables>
  <data>
    <tabular pivotCacheId="7739995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936C1D82-AC5C-471F-A2C1-A0CEB621806A}" sourceName="Warehouse">
  <pivotTables>
    <pivotTable tabId="4" name="PivotTable24"/>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20"/>
    <pivotTable tabId="4" name="PivotTable21"/>
    <pivotTable tabId="4" name="PivotTable3"/>
    <pivotTable tabId="4" name="PivotTable4"/>
    <pivotTable tabId="4" name="PivotTable5"/>
    <pivotTable tabId="4" name="PivotTable6"/>
    <pivotTable tabId="4" name="PivotTable7"/>
    <pivotTable tabId="4" name="PivotTable8"/>
    <pivotTable tabId="4" name="PivotTable9"/>
  </pivotTables>
  <data>
    <tabular pivotCacheId="773999560">
      <items count="6">
        <i x="2" s="1"/>
        <i x="4" s="1"/>
        <i x="1" s="1"/>
        <i x="0"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BA776C7-7B5E-4F47-88B5-D2D4909BC782}" cache="Slicer_Order_Status" caption="Order Status" columnCount="4" style="Slicer Style 2" rowHeight="274320"/>
  <slicer name="Region" xr10:uid="{97466141-219B-4F82-8292-45F232B0BBE2}" cache="Slicer_Customer_Region" caption="Region" style="Slicer Style 2" rowHeight="241300"/>
  <slicer name="Warehouse" xr10:uid="{CAD908FC-DE26-4D38-932B-BD8DA4735E87}" cache="Slicer_Warehouse" caption="Warehouse" style="Slicer Style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590EB-1F68-4848-95A5-34F02051FF99}" name="Table1" displayName="Table1" ref="A1:R501" totalsRowShown="0">
  <autoFilter ref="A1:R501" xr:uid="{2D2590EB-1F68-4848-95A5-34F02051FF99}"/>
  <tableColumns count="18">
    <tableColumn id="1" xr3:uid="{0A41EB66-031D-4BD4-8EF7-B648547546C2}" name="Order_ID"/>
    <tableColumn id="2" xr3:uid="{06E19747-6801-4EF7-8DFE-C1034FAF0C07}" name="Order ID">
      <calculatedColumnFormula>IF(LEFT(A2,3)="APX",A2,"APX" &amp; A2)</calculatedColumnFormula>
    </tableColumn>
    <tableColumn id="3" xr3:uid="{C9EF1667-BC4C-4C1F-931C-C37DED5F9E69}" name="Order_Date" dataDxfId="12"/>
    <tableColumn id="4" xr3:uid="{DB78D4B3-347C-4279-9339-A48B8AD11EF5}" name="Order Date" dataDxfId="11">
      <calculatedColumnFormula>IF(ISNUMBER(C2), C2, DATE(RIGHT(C2, 4), MATCH(LEFT(C2, 3), {"Jan","Feb","Mar","Apr","May","Jun","Jul","Aug","Sep","Oct","Nov","Dec"}, 0), MID(C2, 5, 2)))</calculatedColumnFormula>
    </tableColumn>
    <tableColumn id="5" xr3:uid="{A00E4929-5CA5-41BB-9ECA-4F59B4DF7315}" name="Month" dataDxfId="10">
      <calculatedColumnFormula>TEXT(D2,"mmm")</calculatedColumnFormula>
    </tableColumn>
    <tableColumn id="6" xr3:uid="{74C322CD-EDAC-48A1-AEBA-12FB3BE3491B}" name="Year" dataDxfId="9">
      <calculatedColumnFormula>TEXT(D2,"yyyy")</calculatedColumnFormula>
    </tableColumn>
    <tableColumn id="7" xr3:uid="{96979D23-E406-4A1A-8689-A81136370E31}" name="Month Number" dataDxfId="8">
      <calculatedColumnFormula>MONTH(D2)</calculatedColumnFormula>
    </tableColumn>
    <tableColumn id="8" xr3:uid="{8C48750D-6519-42C3-89D4-7590EAFAA271}" name="Quarter" dataDxfId="7">
      <calculatedColumnFormula>IF(G2&lt;=3,"Q-1",IF(G2&lt;=6,"Q-2",IF(G2&lt;9,"Q-3","Q-4")))</calculatedColumnFormula>
    </tableColumn>
    <tableColumn id="9" xr3:uid="{3CC19423-2B2D-48E9-BA34-D2BB7FEF3D3D}" name="Supplier"/>
    <tableColumn id="10" xr3:uid="{857E0316-0604-4803-924C-11A8BDA6ACA6}" name="Product"/>
    <tableColumn id="11" xr3:uid="{90B363EE-1695-40E8-B962-F46AD5D33C9C}" name="Quantity"/>
    <tableColumn id="12" xr3:uid="{EB68275D-D97F-45A4-82DA-93E22EA913CC}" name="Unit_Price" dataDxfId="6"/>
    <tableColumn id="13" xr3:uid="{CA6F96E6-1187-4202-B844-DC5F5BD05DC4}" name="Delivery_Days"/>
    <tableColumn id="14" xr3:uid="{5EDD2006-6EAA-4A32-889A-26858DC02D2A}" name="Warehouse"/>
    <tableColumn id="15" xr3:uid="{1FFB4896-8CB5-44FD-B3EC-9A64EACA0AD1}" name="Customer_Region"/>
    <tableColumn id="16" xr3:uid="{4DF7F025-B809-44E5-AE48-E0A8D72EDD13}" name="Order_Status"/>
    <tableColumn id="22" xr3:uid="{CCBE7B6A-A677-4F33-9EA7-B719982EC0B7}" name="Total Sales" dataDxfId="5">
      <calculatedColumnFormula>Table1[[#This Row],[Quantity]]*Table1[[#This Row],[Unit_Price]]</calculatedColumnFormula>
    </tableColumn>
    <tableColumn id="23" xr3:uid="{07647779-9957-4836-9FF6-76F0940E6C70}" name="Delivery Category" dataDxfId="4">
      <calculatedColumnFormula>IF(Table1[[#This Row],[Delivery_Days]]&lt;=3,"Fast",IF(Table1[[#This Row],[Delivery_Days]]&lt;=7,"Normal","Late"))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88316-60B6-4379-A430-99DBB6C64EE2}">
  <dimension ref="A1:J501"/>
  <sheetViews>
    <sheetView topLeftCell="A111" zoomScale="132" workbookViewId="0">
      <selection activeCell="G26" sqref="G26"/>
    </sheetView>
  </sheetViews>
  <sheetFormatPr defaultRowHeight="14.5" x14ac:dyDescent="0.35"/>
  <cols>
    <col min="1" max="1" width="8.54296875" bestFit="1" customWidth="1"/>
    <col min="2" max="2" width="11.36328125" bestFit="1" customWidth="1"/>
    <col min="3" max="3" width="10.54296875" bestFit="1" customWidth="1"/>
    <col min="4" max="4" width="15.453125" bestFit="1" customWidth="1"/>
    <col min="5" max="5" width="8" bestFit="1" customWidth="1"/>
    <col min="6" max="6" width="9.26953125" bestFit="1" customWidth="1"/>
    <col min="7" max="7" width="12.54296875" bestFit="1" customWidth="1"/>
    <col min="8" max="8" width="12.08984375" bestFit="1" customWidth="1"/>
    <col min="9" max="9" width="15.6328125" bestFit="1" customWidth="1"/>
    <col min="10" max="10" width="11.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s="1">
        <v>45904</v>
      </c>
      <c r="C2" t="s">
        <v>11</v>
      </c>
      <c r="D2" t="s">
        <v>12</v>
      </c>
      <c r="E2" t="s">
        <v>13</v>
      </c>
      <c r="F2" s="2">
        <v>4500</v>
      </c>
      <c r="G2">
        <v>2</v>
      </c>
      <c r="I2" t="s">
        <v>14</v>
      </c>
      <c r="J2" t="s">
        <v>15</v>
      </c>
    </row>
    <row r="3" spans="1:10" x14ac:dyDescent="0.35">
      <c r="A3" t="s">
        <v>16</v>
      </c>
      <c r="B3" s="1">
        <v>45742</v>
      </c>
      <c r="C3" t="s">
        <v>17</v>
      </c>
      <c r="D3" t="s">
        <v>12</v>
      </c>
      <c r="E3">
        <v>2500</v>
      </c>
      <c r="F3">
        <v>47538</v>
      </c>
      <c r="G3">
        <v>95</v>
      </c>
      <c r="H3" t="s">
        <v>18</v>
      </c>
      <c r="I3" t="s">
        <v>19</v>
      </c>
      <c r="J3" t="s">
        <v>20</v>
      </c>
    </row>
    <row r="4" spans="1:10" x14ac:dyDescent="0.35">
      <c r="A4" t="s">
        <v>21</v>
      </c>
      <c r="B4" t="s">
        <v>22</v>
      </c>
      <c r="C4" t="s">
        <v>23</v>
      </c>
      <c r="D4" t="s">
        <v>12</v>
      </c>
      <c r="E4">
        <v>47</v>
      </c>
      <c r="F4">
        <v>-800</v>
      </c>
      <c r="G4" t="s">
        <v>24</v>
      </c>
      <c r="H4" t="s">
        <v>18</v>
      </c>
      <c r="I4" t="s">
        <v>14</v>
      </c>
      <c r="J4" t="s">
        <v>25</v>
      </c>
    </row>
    <row r="5" spans="1:10" x14ac:dyDescent="0.35">
      <c r="A5" t="s">
        <v>26</v>
      </c>
      <c r="B5" s="1">
        <v>45967</v>
      </c>
      <c r="C5" t="s">
        <v>27</v>
      </c>
      <c r="D5" t="s">
        <v>28</v>
      </c>
      <c r="E5" t="s">
        <v>13</v>
      </c>
      <c r="F5">
        <v>850000</v>
      </c>
      <c r="G5" t="s">
        <v>24</v>
      </c>
      <c r="H5" t="s">
        <v>29</v>
      </c>
      <c r="I5" t="s">
        <v>19</v>
      </c>
      <c r="J5" t="s">
        <v>30</v>
      </c>
    </row>
    <row r="6" spans="1:10" x14ac:dyDescent="0.35">
      <c r="A6">
        <v>1019</v>
      </c>
      <c r="B6" t="s">
        <v>31</v>
      </c>
      <c r="C6" t="s">
        <v>23</v>
      </c>
      <c r="D6" t="s">
        <v>32</v>
      </c>
      <c r="E6">
        <v>-12</v>
      </c>
      <c r="F6">
        <v>-800</v>
      </c>
      <c r="G6" t="s">
        <v>24</v>
      </c>
      <c r="I6" t="s">
        <v>19</v>
      </c>
      <c r="J6" t="s">
        <v>33</v>
      </c>
    </row>
    <row r="7" spans="1:10" x14ac:dyDescent="0.35">
      <c r="A7" t="s">
        <v>34</v>
      </c>
      <c r="B7" t="s">
        <v>35</v>
      </c>
      <c r="C7" t="s">
        <v>36</v>
      </c>
      <c r="D7" t="s">
        <v>37</v>
      </c>
      <c r="E7" t="s">
        <v>13</v>
      </c>
      <c r="F7" s="2">
        <v>4500</v>
      </c>
      <c r="G7" t="s">
        <v>24</v>
      </c>
      <c r="H7" t="s">
        <v>29</v>
      </c>
      <c r="I7" t="s">
        <v>14</v>
      </c>
      <c r="J7" t="s">
        <v>30</v>
      </c>
    </row>
    <row r="8" spans="1:10" x14ac:dyDescent="0.35">
      <c r="A8" t="s">
        <v>38</v>
      </c>
      <c r="B8" s="1">
        <v>45958</v>
      </c>
      <c r="C8" t="s">
        <v>27</v>
      </c>
      <c r="D8" t="s">
        <v>39</v>
      </c>
      <c r="E8" t="s">
        <v>13</v>
      </c>
      <c r="F8">
        <v>850000</v>
      </c>
      <c r="G8" t="s">
        <v>24</v>
      </c>
      <c r="H8" t="s">
        <v>40</v>
      </c>
      <c r="I8" t="s">
        <v>41</v>
      </c>
      <c r="J8" t="s">
        <v>42</v>
      </c>
    </row>
    <row r="9" spans="1:10" x14ac:dyDescent="0.35">
      <c r="A9" t="s">
        <v>43</v>
      </c>
      <c r="B9" s="1">
        <v>45973</v>
      </c>
      <c r="C9" t="s">
        <v>23</v>
      </c>
      <c r="D9" t="s">
        <v>37</v>
      </c>
      <c r="E9" t="s">
        <v>13</v>
      </c>
      <c r="F9" s="2">
        <v>4500</v>
      </c>
      <c r="G9" t="s">
        <v>24</v>
      </c>
      <c r="I9" t="s">
        <v>44</v>
      </c>
      <c r="J9" t="s">
        <v>20</v>
      </c>
    </row>
    <row r="10" spans="1:10" x14ac:dyDescent="0.35">
      <c r="A10" t="s">
        <v>45</v>
      </c>
      <c r="B10" s="1">
        <v>45734</v>
      </c>
      <c r="C10" t="s">
        <v>23</v>
      </c>
      <c r="D10" t="s">
        <v>28</v>
      </c>
      <c r="E10" t="s">
        <v>13</v>
      </c>
      <c r="F10">
        <v>30900</v>
      </c>
      <c r="G10">
        <v>95</v>
      </c>
      <c r="I10" t="s">
        <v>46</v>
      </c>
      <c r="J10" t="s">
        <v>25</v>
      </c>
    </row>
    <row r="11" spans="1:10" x14ac:dyDescent="0.35">
      <c r="A11" t="s">
        <v>47</v>
      </c>
      <c r="B11" s="1">
        <v>45692</v>
      </c>
      <c r="C11" t="s">
        <v>48</v>
      </c>
      <c r="D11" t="s">
        <v>32</v>
      </c>
      <c r="E11">
        <v>136</v>
      </c>
      <c r="F11">
        <v>6469</v>
      </c>
      <c r="G11">
        <v>2</v>
      </c>
      <c r="H11" t="s">
        <v>49</v>
      </c>
      <c r="I11" t="s">
        <v>50</v>
      </c>
      <c r="J11" t="s">
        <v>33</v>
      </c>
    </row>
    <row r="12" spans="1:10" x14ac:dyDescent="0.35">
      <c r="A12" t="s">
        <v>51</v>
      </c>
      <c r="B12" s="1">
        <v>45698</v>
      </c>
      <c r="C12" t="s">
        <v>23</v>
      </c>
      <c r="D12" t="s">
        <v>39</v>
      </c>
      <c r="E12" t="s">
        <v>13</v>
      </c>
      <c r="F12">
        <v>850000</v>
      </c>
      <c r="G12">
        <v>95</v>
      </c>
      <c r="H12" t="s">
        <v>49</v>
      </c>
      <c r="I12" t="s">
        <v>44</v>
      </c>
      <c r="J12" t="s">
        <v>33</v>
      </c>
    </row>
    <row r="13" spans="1:10" x14ac:dyDescent="0.35">
      <c r="A13" t="s">
        <v>10</v>
      </c>
      <c r="B13" s="1">
        <v>45819</v>
      </c>
      <c r="C13" t="s">
        <v>11</v>
      </c>
      <c r="D13" t="s">
        <v>32</v>
      </c>
      <c r="E13">
        <v>51</v>
      </c>
      <c r="F13" s="2">
        <v>4500</v>
      </c>
      <c r="G13" t="s">
        <v>24</v>
      </c>
      <c r="H13" t="s">
        <v>29</v>
      </c>
      <c r="I13" t="s">
        <v>46</v>
      </c>
      <c r="J13" t="s">
        <v>20</v>
      </c>
    </row>
    <row r="14" spans="1:10" x14ac:dyDescent="0.35">
      <c r="A14" t="s">
        <v>52</v>
      </c>
      <c r="B14" s="1">
        <v>45948</v>
      </c>
      <c r="C14" t="s">
        <v>17</v>
      </c>
      <c r="D14" t="s">
        <v>37</v>
      </c>
      <c r="E14">
        <v>26</v>
      </c>
      <c r="F14">
        <v>-800</v>
      </c>
      <c r="G14" t="s">
        <v>24</v>
      </c>
      <c r="H14" t="s">
        <v>53</v>
      </c>
      <c r="I14" t="s">
        <v>46</v>
      </c>
      <c r="J14" t="s">
        <v>25</v>
      </c>
    </row>
    <row r="15" spans="1:10" x14ac:dyDescent="0.35">
      <c r="A15">
        <v>1002</v>
      </c>
      <c r="B15" t="s">
        <v>54</v>
      </c>
      <c r="C15" t="s">
        <v>17</v>
      </c>
      <c r="D15" t="s">
        <v>37</v>
      </c>
      <c r="E15" t="s">
        <v>13</v>
      </c>
      <c r="F15">
        <v>16574</v>
      </c>
      <c r="G15" t="s">
        <v>24</v>
      </c>
      <c r="H15" t="s">
        <v>18</v>
      </c>
      <c r="I15" t="s">
        <v>41</v>
      </c>
      <c r="J15" t="s">
        <v>20</v>
      </c>
    </row>
    <row r="16" spans="1:10" x14ac:dyDescent="0.35">
      <c r="A16" t="s">
        <v>55</v>
      </c>
      <c r="B16" t="s">
        <v>56</v>
      </c>
      <c r="C16" t="s">
        <v>57</v>
      </c>
      <c r="D16" t="s">
        <v>28</v>
      </c>
      <c r="E16" t="s">
        <v>13</v>
      </c>
      <c r="F16">
        <v>6024</v>
      </c>
      <c r="G16" t="s">
        <v>24</v>
      </c>
      <c r="H16" t="s">
        <v>40</v>
      </c>
      <c r="I16" t="s">
        <v>41</v>
      </c>
      <c r="J16" t="s">
        <v>15</v>
      </c>
    </row>
    <row r="17" spans="1:10" x14ac:dyDescent="0.35">
      <c r="A17" t="s">
        <v>58</v>
      </c>
      <c r="B17" t="s">
        <v>59</v>
      </c>
      <c r="C17" t="s">
        <v>57</v>
      </c>
      <c r="D17" t="s">
        <v>39</v>
      </c>
      <c r="E17">
        <v>2500</v>
      </c>
      <c r="F17">
        <v>-800</v>
      </c>
      <c r="G17">
        <v>12</v>
      </c>
      <c r="H17" t="s">
        <v>29</v>
      </c>
      <c r="I17" t="s">
        <v>14</v>
      </c>
      <c r="J17" t="s">
        <v>33</v>
      </c>
    </row>
    <row r="18" spans="1:10" x14ac:dyDescent="0.35">
      <c r="A18" t="s">
        <v>60</v>
      </c>
      <c r="B18" s="1">
        <v>45807</v>
      </c>
      <c r="C18" t="s">
        <v>48</v>
      </c>
      <c r="D18" t="s">
        <v>28</v>
      </c>
      <c r="E18">
        <v>-12</v>
      </c>
      <c r="F18" s="2">
        <v>4500</v>
      </c>
      <c r="G18">
        <v>95</v>
      </c>
      <c r="H18" t="s">
        <v>40</v>
      </c>
      <c r="I18" t="s">
        <v>50</v>
      </c>
      <c r="J18" t="s">
        <v>33</v>
      </c>
    </row>
    <row r="19" spans="1:10" x14ac:dyDescent="0.35">
      <c r="A19" t="s">
        <v>61</v>
      </c>
      <c r="B19" s="1">
        <v>45809</v>
      </c>
      <c r="D19" t="s">
        <v>12</v>
      </c>
      <c r="E19">
        <v>2500</v>
      </c>
      <c r="F19">
        <v>850000</v>
      </c>
      <c r="G19">
        <v>95</v>
      </c>
      <c r="H19" t="s">
        <v>18</v>
      </c>
      <c r="I19" t="s">
        <v>19</v>
      </c>
      <c r="J19" t="s">
        <v>15</v>
      </c>
    </row>
    <row r="20" spans="1:10" x14ac:dyDescent="0.35">
      <c r="A20" t="s">
        <v>62</v>
      </c>
      <c r="B20" t="s">
        <v>63</v>
      </c>
      <c r="C20" t="s">
        <v>57</v>
      </c>
      <c r="D20" t="s">
        <v>64</v>
      </c>
      <c r="E20">
        <v>2500</v>
      </c>
      <c r="F20">
        <v>3766</v>
      </c>
      <c r="G20" t="s">
        <v>24</v>
      </c>
      <c r="H20" t="s">
        <v>18</v>
      </c>
      <c r="I20" t="s">
        <v>41</v>
      </c>
      <c r="J20" t="s">
        <v>33</v>
      </c>
    </row>
    <row r="21" spans="1:10" x14ac:dyDescent="0.35">
      <c r="A21" t="s">
        <v>65</v>
      </c>
      <c r="B21" t="s">
        <v>66</v>
      </c>
      <c r="C21" t="s">
        <v>23</v>
      </c>
      <c r="D21" t="s">
        <v>39</v>
      </c>
      <c r="E21">
        <v>-12</v>
      </c>
      <c r="F21">
        <v>850000</v>
      </c>
      <c r="G21">
        <v>95</v>
      </c>
      <c r="H21" t="s">
        <v>67</v>
      </c>
      <c r="I21" t="s">
        <v>46</v>
      </c>
      <c r="J21" t="s">
        <v>20</v>
      </c>
    </row>
    <row r="22" spans="1:10" x14ac:dyDescent="0.35">
      <c r="A22" t="s">
        <v>68</v>
      </c>
      <c r="B22" t="s">
        <v>69</v>
      </c>
      <c r="C22" t="s">
        <v>57</v>
      </c>
      <c r="D22" t="s">
        <v>37</v>
      </c>
      <c r="E22">
        <v>-12</v>
      </c>
      <c r="F22" s="2">
        <v>4500</v>
      </c>
      <c r="G22">
        <v>5</v>
      </c>
      <c r="H22" t="s">
        <v>70</v>
      </c>
      <c r="I22" t="s">
        <v>44</v>
      </c>
      <c r="J22" t="s">
        <v>15</v>
      </c>
    </row>
    <row r="23" spans="1:10" x14ac:dyDescent="0.35">
      <c r="A23" t="s">
        <v>71</v>
      </c>
      <c r="B23" s="1">
        <v>45660</v>
      </c>
      <c r="C23" t="s">
        <v>27</v>
      </c>
      <c r="D23" t="s">
        <v>12</v>
      </c>
      <c r="E23">
        <v>131</v>
      </c>
      <c r="F23">
        <v>850000</v>
      </c>
      <c r="G23" t="s">
        <v>24</v>
      </c>
      <c r="H23" t="s">
        <v>18</v>
      </c>
      <c r="I23" t="s">
        <v>50</v>
      </c>
      <c r="J23" t="s">
        <v>33</v>
      </c>
    </row>
    <row r="24" spans="1:10" x14ac:dyDescent="0.35">
      <c r="A24" t="s">
        <v>72</v>
      </c>
      <c r="B24" s="1">
        <v>45669</v>
      </c>
      <c r="C24" t="s">
        <v>48</v>
      </c>
      <c r="D24" t="s">
        <v>73</v>
      </c>
      <c r="E24">
        <v>29</v>
      </c>
      <c r="F24">
        <v>850000</v>
      </c>
      <c r="G24">
        <v>11</v>
      </c>
      <c r="H24" t="s">
        <v>49</v>
      </c>
      <c r="I24" t="s">
        <v>19</v>
      </c>
      <c r="J24" t="s">
        <v>74</v>
      </c>
    </row>
    <row r="25" spans="1:10" x14ac:dyDescent="0.35">
      <c r="A25">
        <v>1146</v>
      </c>
      <c r="B25" t="s">
        <v>75</v>
      </c>
      <c r="C25" t="s">
        <v>76</v>
      </c>
      <c r="D25" t="s">
        <v>64</v>
      </c>
      <c r="E25" t="s">
        <v>13</v>
      </c>
      <c r="F25">
        <v>20142</v>
      </c>
      <c r="G25">
        <v>14</v>
      </c>
      <c r="H25" t="s">
        <v>40</v>
      </c>
      <c r="I25" t="s">
        <v>41</v>
      </c>
      <c r="J25" t="s">
        <v>30</v>
      </c>
    </row>
    <row r="26" spans="1:10" x14ac:dyDescent="0.35">
      <c r="A26" t="s">
        <v>77</v>
      </c>
      <c r="B26" s="1">
        <v>45932</v>
      </c>
      <c r="C26" t="s">
        <v>11</v>
      </c>
      <c r="D26" t="s">
        <v>37</v>
      </c>
      <c r="E26">
        <v>50</v>
      </c>
      <c r="F26" t="s">
        <v>78</v>
      </c>
      <c r="G26">
        <v>95</v>
      </c>
      <c r="H26" t="s">
        <v>70</v>
      </c>
      <c r="I26" t="s">
        <v>46</v>
      </c>
      <c r="J26" t="s">
        <v>33</v>
      </c>
    </row>
    <row r="27" spans="1:10" x14ac:dyDescent="0.35">
      <c r="A27" t="s">
        <v>79</v>
      </c>
      <c r="B27" s="1">
        <v>45803</v>
      </c>
      <c r="C27" t="s">
        <v>11</v>
      </c>
      <c r="D27" t="s">
        <v>39</v>
      </c>
      <c r="E27">
        <v>2500</v>
      </c>
      <c r="F27">
        <v>27614</v>
      </c>
      <c r="G27" t="s">
        <v>24</v>
      </c>
      <c r="I27" t="s">
        <v>41</v>
      </c>
      <c r="J27" t="s">
        <v>42</v>
      </c>
    </row>
    <row r="28" spans="1:10" x14ac:dyDescent="0.35">
      <c r="A28" t="s">
        <v>80</v>
      </c>
      <c r="B28" s="1">
        <v>45664</v>
      </c>
      <c r="C28" t="s">
        <v>76</v>
      </c>
      <c r="D28" t="s">
        <v>32</v>
      </c>
      <c r="E28" t="s">
        <v>13</v>
      </c>
      <c r="F28">
        <v>-800</v>
      </c>
      <c r="G28" t="s">
        <v>24</v>
      </c>
      <c r="H28" t="s">
        <v>29</v>
      </c>
      <c r="I28" t="s">
        <v>44</v>
      </c>
      <c r="J28" t="s">
        <v>30</v>
      </c>
    </row>
    <row r="29" spans="1:10" x14ac:dyDescent="0.35">
      <c r="A29" t="s">
        <v>81</v>
      </c>
      <c r="B29" t="s">
        <v>82</v>
      </c>
      <c r="C29" t="s">
        <v>11</v>
      </c>
      <c r="D29" t="s">
        <v>12</v>
      </c>
      <c r="E29">
        <v>2500</v>
      </c>
      <c r="F29" t="s">
        <v>78</v>
      </c>
      <c r="G29" t="s">
        <v>24</v>
      </c>
      <c r="H29" t="s">
        <v>40</v>
      </c>
      <c r="I29" t="s">
        <v>14</v>
      </c>
      <c r="J29" t="s">
        <v>15</v>
      </c>
    </row>
    <row r="30" spans="1:10" x14ac:dyDescent="0.35">
      <c r="A30" t="s">
        <v>83</v>
      </c>
      <c r="B30" t="s">
        <v>84</v>
      </c>
      <c r="C30" t="s">
        <v>27</v>
      </c>
      <c r="D30" t="s">
        <v>12</v>
      </c>
      <c r="E30">
        <v>2500</v>
      </c>
      <c r="F30">
        <v>44500</v>
      </c>
      <c r="G30" t="s">
        <v>24</v>
      </c>
      <c r="H30" t="s">
        <v>40</v>
      </c>
      <c r="I30" t="s">
        <v>44</v>
      </c>
      <c r="J30" t="s">
        <v>25</v>
      </c>
    </row>
    <row r="31" spans="1:10" x14ac:dyDescent="0.35">
      <c r="A31" t="s">
        <v>85</v>
      </c>
      <c r="B31" t="s">
        <v>86</v>
      </c>
      <c r="C31" t="s">
        <v>48</v>
      </c>
      <c r="D31" t="s">
        <v>28</v>
      </c>
      <c r="E31">
        <v>197</v>
      </c>
      <c r="F31" s="2">
        <v>4500</v>
      </c>
      <c r="G31">
        <v>7</v>
      </c>
      <c r="I31" t="s">
        <v>46</v>
      </c>
      <c r="J31" t="s">
        <v>15</v>
      </c>
    </row>
    <row r="32" spans="1:10" x14ac:dyDescent="0.35">
      <c r="A32" t="s">
        <v>55</v>
      </c>
      <c r="B32" s="1">
        <v>46011</v>
      </c>
      <c r="C32" t="s">
        <v>76</v>
      </c>
      <c r="D32" t="s">
        <v>28</v>
      </c>
      <c r="E32">
        <v>2500</v>
      </c>
      <c r="F32">
        <v>-800</v>
      </c>
      <c r="G32">
        <v>95</v>
      </c>
      <c r="H32" t="s">
        <v>29</v>
      </c>
      <c r="I32" t="s">
        <v>46</v>
      </c>
      <c r="J32" t="s">
        <v>74</v>
      </c>
    </row>
    <row r="33" spans="1:10" x14ac:dyDescent="0.35">
      <c r="A33" t="s">
        <v>87</v>
      </c>
      <c r="B33" s="1">
        <v>45705</v>
      </c>
      <c r="C33" t="s">
        <v>17</v>
      </c>
      <c r="D33" t="s">
        <v>28</v>
      </c>
      <c r="E33" t="s">
        <v>13</v>
      </c>
      <c r="F33" s="2">
        <v>4500</v>
      </c>
      <c r="G33">
        <v>5</v>
      </c>
      <c r="I33" t="s">
        <v>41</v>
      </c>
      <c r="J33" t="s">
        <v>25</v>
      </c>
    </row>
    <row r="34" spans="1:10" x14ac:dyDescent="0.35">
      <c r="A34" t="s">
        <v>88</v>
      </c>
      <c r="B34" s="1">
        <v>45959</v>
      </c>
      <c r="C34" t="s">
        <v>57</v>
      </c>
      <c r="D34" t="s">
        <v>89</v>
      </c>
      <c r="E34" t="s">
        <v>13</v>
      </c>
      <c r="F34" t="s">
        <v>78</v>
      </c>
      <c r="G34">
        <v>95</v>
      </c>
      <c r="H34" t="s">
        <v>49</v>
      </c>
      <c r="I34" t="s">
        <v>44</v>
      </c>
      <c r="J34" t="s">
        <v>74</v>
      </c>
    </row>
    <row r="35" spans="1:10" x14ac:dyDescent="0.35">
      <c r="A35" t="s">
        <v>90</v>
      </c>
      <c r="B35" s="1">
        <v>45978</v>
      </c>
      <c r="C35" t="s">
        <v>57</v>
      </c>
      <c r="D35" t="s">
        <v>73</v>
      </c>
      <c r="E35">
        <v>68</v>
      </c>
      <c r="F35">
        <v>850000</v>
      </c>
      <c r="G35">
        <v>95</v>
      </c>
      <c r="I35" t="s">
        <v>44</v>
      </c>
      <c r="J35" t="s">
        <v>42</v>
      </c>
    </row>
    <row r="36" spans="1:10" x14ac:dyDescent="0.35">
      <c r="A36">
        <v>1379</v>
      </c>
      <c r="B36" t="s">
        <v>91</v>
      </c>
      <c r="C36" t="s">
        <v>23</v>
      </c>
      <c r="D36" t="s">
        <v>37</v>
      </c>
      <c r="E36">
        <v>2500</v>
      </c>
      <c r="F36" t="s">
        <v>78</v>
      </c>
      <c r="G36">
        <v>2</v>
      </c>
      <c r="H36" t="s">
        <v>49</v>
      </c>
      <c r="I36" t="s">
        <v>46</v>
      </c>
      <c r="J36" t="s">
        <v>42</v>
      </c>
    </row>
    <row r="37" spans="1:10" x14ac:dyDescent="0.35">
      <c r="A37" t="s">
        <v>92</v>
      </c>
      <c r="B37" s="1">
        <v>45873</v>
      </c>
      <c r="C37" t="s">
        <v>48</v>
      </c>
      <c r="D37" t="s">
        <v>39</v>
      </c>
      <c r="E37">
        <v>2500</v>
      </c>
      <c r="F37">
        <v>-800</v>
      </c>
      <c r="G37">
        <v>95</v>
      </c>
      <c r="H37" t="s">
        <v>18</v>
      </c>
      <c r="I37" t="s">
        <v>50</v>
      </c>
      <c r="J37" t="s">
        <v>20</v>
      </c>
    </row>
    <row r="38" spans="1:10" x14ac:dyDescent="0.35">
      <c r="A38" t="s">
        <v>93</v>
      </c>
      <c r="B38" s="1">
        <v>46020</v>
      </c>
      <c r="C38" t="s">
        <v>57</v>
      </c>
      <c r="D38" t="s">
        <v>28</v>
      </c>
      <c r="E38">
        <v>-12</v>
      </c>
      <c r="F38">
        <v>33492</v>
      </c>
      <c r="G38" t="s">
        <v>24</v>
      </c>
      <c r="H38" t="s">
        <v>70</v>
      </c>
      <c r="I38" t="s">
        <v>19</v>
      </c>
      <c r="J38" t="s">
        <v>33</v>
      </c>
    </row>
    <row r="39" spans="1:10" x14ac:dyDescent="0.35">
      <c r="A39" t="s">
        <v>94</v>
      </c>
      <c r="B39" s="1">
        <v>45857</v>
      </c>
      <c r="C39" t="s">
        <v>11</v>
      </c>
      <c r="D39" t="s">
        <v>28</v>
      </c>
      <c r="E39">
        <v>2500</v>
      </c>
      <c r="F39">
        <v>9359</v>
      </c>
      <c r="G39">
        <v>95</v>
      </c>
      <c r="H39" t="s">
        <v>40</v>
      </c>
      <c r="I39" t="s">
        <v>50</v>
      </c>
      <c r="J39" t="s">
        <v>30</v>
      </c>
    </row>
    <row r="40" spans="1:10" x14ac:dyDescent="0.35">
      <c r="A40" t="s">
        <v>95</v>
      </c>
      <c r="B40" s="1">
        <v>45847</v>
      </c>
      <c r="C40" t="s">
        <v>27</v>
      </c>
      <c r="D40" t="s">
        <v>37</v>
      </c>
      <c r="E40">
        <v>2500</v>
      </c>
      <c r="F40">
        <v>-800</v>
      </c>
      <c r="G40">
        <v>95</v>
      </c>
      <c r="H40" t="s">
        <v>29</v>
      </c>
      <c r="I40" t="s">
        <v>14</v>
      </c>
      <c r="J40" t="s">
        <v>74</v>
      </c>
    </row>
    <row r="41" spans="1:10" x14ac:dyDescent="0.35">
      <c r="A41" t="s">
        <v>79</v>
      </c>
      <c r="B41" s="1">
        <v>45963</v>
      </c>
      <c r="C41" t="s">
        <v>36</v>
      </c>
      <c r="D41" t="s">
        <v>28</v>
      </c>
      <c r="E41">
        <v>2500</v>
      </c>
      <c r="F41">
        <v>850000</v>
      </c>
      <c r="G41" t="s">
        <v>24</v>
      </c>
      <c r="H41" t="s">
        <v>18</v>
      </c>
      <c r="I41" t="s">
        <v>41</v>
      </c>
      <c r="J41" t="s">
        <v>74</v>
      </c>
    </row>
    <row r="42" spans="1:10" x14ac:dyDescent="0.35">
      <c r="A42" t="s">
        <v>96</v>
      </c>
      <c r="B42" t="s">
        <v>97</v>
      </c>
      <c r="C42" t="s">
        <v>23</v>
      </c>
      <c r="D42" t="s">
        <v>32</v>
      </c>
      <c r="E42" t="s">
        <v>13</v>
      </c>
      <c r="F42" t="s">
        <v>78</v>
      </c>
      <c r="G42">
        <v>95</v>
      </c>
      <c r="H42" t="s">
        <v>18</v>
      </c>
      <c r="I42" t="s">
        <v>41</v>
      </c>
      <c r="J42" t="s">
        <v>74</v>
      </c>
    </row>
    <row r="43" spans="1:10" x14ac:dyDescent="0.35">
      <c r="A43" t="s">
        <v>98</v>
      </c>
      <c r="B43" t="s">
        <v>99</v>
      </c>
      <c r="C43" t="s">
        <v>17</v>
      </c>
      <c r="D43" t="s">
        <v>39</v>
      </c>
      <c r="E43">
        <v>-12</v>
      </c>
      <c r="F43">
        <v>850000</v>
      </c>
      <c r="G43">
        <v>9</v>
      </c>
      <c r="H43" t="s">
        <v>29</v>
      </c>
      <c r="I43" t="s">
        <v>50</v>
      </c>
      <c r="J43" t="s">
        <v>42</v>
      </c>
    </row>
    <row r="44" spans="1:10" x14ac:dyDescent="0.35">
      <c r="A44" t="s">
        <v>100</v>
      </c>
      <c r="B44" s="1">
        <v>45698</v>
      </c>
      <c r="C44" t="s">
        <v>76</v>
      </c>
      <c r="D44" t="s">
        <v>39</v>
      </c>
      <c r="E44">
        <v>-12</v>
      </c>
      <c r="F44" s="2">
        <v>4500</v>
      </c>
      <c r="G44">
        <v>95</v>
      </c>
      <c r="H44" t="s">
        <v>70</v>
      </c>
      <c r="I44" t="s">
        <v>41</v>
      </c>
      <c r="J44" t="s">
        <v>74</v>
      </c>
    </row>
    <row r="45" spans="1:10" x14ac:dyDescent="0.35">
      <c r="A45" t="s">
        <v>101</v>
      </c>
      <c r="B45" s="1">
        <v>45990</v>
      </c>
      <c r="C45" t="s">
        <v>11</v>
      </c>
      <c r="D45" t="s">
        <v>73</v>
      </c>
      <c r="E45">
        <v>-12</v>
      </c>
      <c r="F45" t="s">
        <v>78</v>
      </c>
      <c r="G45" t="s">
        <v>24</v>
      </c>
      <c r="H45" t="s">
        <v>29</v>
      </c>
      <c r="I45" t="s">
        <v>41</v>
      </c>
      <c r="J45" t="s">
        <v>74</v>
      </c>
    </row>
    <row r="46" spans="1:10" x14ac:dyDescent="0.35">
      <c r="A46" t="s">
        <v>102</v>
      </c>
      <c r="B46" s="1">
        <v>45968</v>
      </c>
      <c r="C46" t="s">
        <v>48</v>
      </c>
      <c r="D46" t="s">
        <v>39</v>
      </c>
      <c r="E46">
        <v>2500</v>
      </c>
      <c r="F46">
        <v>30278</v>
      </c>
      <c r="G46">
        <v>95</v>
      </c>
      <c r="H46" t="s">
        <v>40</v>
      </c>
      <c r="I46" t="s">
        <v>19</v>
      </c>
      <c r="J46" t="s">
        <v>30</v>
      </c>
    </row>
    <row r="47" spans="1:10" x14ac:dyDescent="0.35">
      <c r="A47" t="s">
        <v>103</v>
      </c>
      <c r="B47" s="1">
        <v>45858</v>
      </c>
      <c r="C47" t="s">
        <v>48</v>
      </c>
      <c r="D47" t="s">
        <v>32</v>
      </c>
      <c r="E47" t="s">
        <v>13</v>
      </c>
      <c r="F47">
        <v>-800</v>
      </c>
      <c r="G47">
        <v>6</v>
      </c>
      <c r="H47" t="s">
        <v>70</v>
      </c>
      <c r="I47" t="s">
        <v>44</v>
      </c>
      <c r="J47" t="s">
        <v>30</v>
      </c>
    </row>
    <row r="48" spans="1:10" x14ac:dyDescent="0.35">
      <c r="A48" t="s">
        <v>43</v>
      </c>
      <c r="B48" t="s">
        <v>104</v>
      </c>
      <c r="C48" t="s">
        <v>17</v>
      </c>
      <c r="D48" t="s">
        <v>37</v>
      </c>
      <c r="E48">
        <v>-12</v>
      </c>
      <c r="F48">
        <v>4942</v>
      </c>
      <c r="G48" t="s">
        <v>24</v>
      </c>
      <c r="H48" t="s">
        <v>67</v>
      </c>
      <c r="I48" t="s">
        <v>19</v>
      </c>
      <c r="J48" t="s">
        <v>20</v>
      </c>
    </row>
    <row r="49" spans="1:10" x14ac:dyDescent="0.35">
      <c r="A49" t="s">
        <v>105</v>
      </c>
      <c r="B49" s="1">
        <v>45701</v>
      </c>
      <c r="C49" t="s">
        <v>17</v>
      </c>
      <c r="D49" t="s">
        <v>28</v>
      </c>
      <c r="E49" t="s">
        <v>13</v>
      </c>
      <c r="F49" s="2">
        <v>4500</v>
      </c>
      <c r="G49">
        <v>14</v>
      </c>
      <c r="H49" t="s">
        <v>49</v>
      </c>
      <c r="I49" t="s">
        <v>46</v>
      </c>
      <c r="J49" t="s">
        <v>33</v>
      </c>
    </row>
    <row r="50" spans="1:10" x14ac:dyDescent="0.35">
      <c r="A50" t="s">
        <v>106</v>
      </c>
      <c r="B50" s="1">
        <v>45936</v>
      </c>
      <c r="C50" t="s">
        <v>48</v>
      </c>
      <c r="D50" t="s">
        <v>32</v>
      </c>
      <c r="E50">
        <v>2500</v>
      </c>
      <c r="F50">
        <v>850000</v>
      </c>
      <c r="G50">
        <v>95</v>
      </c>
      <c r="H50" t="s">
        <v>67</v>
      </c>
      <c r="I50" t="s">
        <v>50</v>
      </c>
      <c r="J50" t="s">
        <v>15</v>
      </c>
    </row>
    <row r="51" spans="1:10" x14ac:dyDescent="0.35">
      <c r="A51" t="s">
        <v>107</v>
      </c>
      <c r="B51" s="1">
        <v>45843</v>
      </c>
      <c r="C51" t="s">
        <v>17</v>
      </c>
      <c r="D51" t="s">
        <v>28</v>
      </c>
      <c r="E51">
        <v>2500</v>
      </c>
      <c r="F51">
        <v>850000</v>
      </c>
      <c r="G51">
        <v>13</v>
      </c>
      <c r="H51" t="s">
        <v>40</v>
      </c>
      <c r="I51" t="s">
        <v>44</v>
      </c>
      <c r="J51" t="s">
        <v>20</v>
      </c>
    </row>
    <row r="52" spans="1:10" x14ac:dyDescent="0.35">
      <c r="A52" t="s">
        <v>65</v>
      </c>
      <c r="B52" t="s">
        <v>108</v>
      </c>
      <c r="D52" t="s">
        <v>73</v>
      </c>
      <c r="E52">
        <v>32</v>
      </c>
      <c r="F52">
        <v>-800</v>
      </c>
      <c r="G52" t="s">
        <v>24</v>
      </c>
      <c r="H52" t="s">
        <v>29</v>
      </c>
      <c r="I52" t="s">
        <v>19</v>
      </c>
      <c r="J52" t="s">
        <v>15</v>
      </c>
    </row>
    <row r="53" spans="1:10" x14ac:dyDescent="0.35">
      <c r="A53" t="s">
        <v>109</v>
      </c>
      <c r="B53" t="s">
        <v>110</v>
      </c>
      <c r="C53" t="s">
        <v>76</v>
      </c>
      <c r="D53" t="s">
        <v>73</v>
      </c>
      <c r="E53">
        <v>2500</v>
      </c>
      <c r="F53">
        <v>850000</v>
      </c>
      <c r="G53">
        <v>4</v>
      </c>
      <c r="H53" t="s">
        <v>67</v>
      </c>
      <c r="I53" t="s">
        <v>41</v>
      </c>
      <c r="J53" t="s">
        <v>15</v>
      </c>
    </row>
    <row r="54" spans="1:10" x14ac:dyDescent="0.35">
      <c r="A54" t="s">
        <v>111</v>
      </c>
      <c r="B54" t="s">
        <v>112</v>
      </c>
      <c r="C54" t="s">
        <v>27</v>
      </c>
      <c r="D54" t="s">
        <v>64</v>
      </c>
      <c r="E54" t="s">
        <v>13</v>
      </c>
      <c r="F54">
        <v>27093</v>
      </c>
      <c r="G54" t="s">
        <v>24</v>
      </c>
      <c r="H54" t="s">
        <v>18</v>
      </c>
      <c r="I54" t="s">
        <v>44</v>
      </c>
      <c r="J54" t="s">
        <v>25</v>
      </c>
    </row>
    <row r="55" spans="1:10" x14ac:dyDescent="0.35">
      <c r="A55">
        <v>1028</v>
      </c>
      <c r="B55" s="1">
        <v>45914</v>
      </c>
      <c r="C55" t="s">
        <v>11</v>
      </c>
      <c r="D55" t="s">
        <v>89</v>
      </c>
      <c r="E55">
        <v>2500</v>
      </c>
      <c r="F55">
        <v>-800</v>
      </c>
      <c r="G55" t="s">
        <v>24</v>
      </c>
      <c r="H55" t="s">
        <v>67</v>
      </c>
      <c r="I55" t="s">
        <v>14</v>
      </c>
      <c r="J55" t="s">
        <v>25</v>
      </c>
    </row>
    <row r="56" spans="1:10" x14ac:dyDescent="0.35">
      <c r="A56" t="s">
        <v>113</v>
      </c>
      <c r="B56" s="1">
        <v>45957</v>
      </c>
      <c r="C56" t="s">
        <v>23</v>
      </c>
      <c r="D56" t="s">
        <v>32</v>
      </c>
      <c r="E56">
        <v>2500</v>
      </c>
      <c r="F56" t="s">
        <v>78</v>
      </c>
      <c r="G56" t="s">
        <v>24</v>
      </c>
      <c r="I56" t="s">
        <v>46</v>
      </c>
      <c r="J56" t="s">
        <v>15</v>
      </c>
    </row>
    <row r="57" spans="1:10" x14ac:dyDescent="0.35">
      <c r="A57" t="s">
        <v>114</v>
      </c>
      <c r="B57" s="1">
        <v>46018</v>
      </c>
      <c r="C57" t="s">
        <v>23</v>
      </c>
      <c r="D57" t="s">
        <v>28</v>
      </c>
      <c r="E57">
        <v>-12</v>
      </c>
      <c r="F57">
        <v>850000</v>
      </c>
      <c r="G57">
        <v>95</v>
      </c>
      <c r="H57" t="s">
        <v>49</v>
      </c>
      <c r="I57" t="s">
        <v>41</v>
      </c>
      <c r="J57" t="s">
        <v>33</v>
      </c>
    </row>
    <row r="58" spans="1:10" x14ac:dyDescent="0.35">
      <c r="A58" t="s">
        <v>65</v>
      </c>
      <c r="B58" s="1">
        <v>45724</v>
      </c>
      <c r="C58" t="s">
        <v>48</v>
      </c>
      <c r="D58" t="s">
        <v>64</v>
      </c>
      <c r="E58" t="s">
        <v>13</v>
      </c>
      <c r="F58" t="s">
        <v>78</v>
      </c>
      <c r="G58" t="s">
        <v>24</v>
      </c>
      <c r="H58" t="s">
        <v>70</v>
      </c>
      <c r="I58" t="s">
        <v>44</v>
      </c>
      <c r="J58" t="s">
        <v>33</v>
      </c>
    </row>
    <row r="59" spans="1:10" x14ac:dyDescent="0.35">
      <c r="A59" t="s">
        <v>115</v>
      </c>
      <c r="B59" t="s">
        <v>116</v>
      </c>
      <c r="C59" t="s">
        <v>11</v>
      </c>
      <c r="D59" t="s">
        <v>28</v>
      </c>
      <c r="E59">
        <v>-12</v>
      </c>
      <c r="F59">
        <v>39428</v>
      </c>
      <c r="G59" t="s">
        <v>24</v>
      </c>
      <c r="I59" t="s">
        <v>14</v>
      </c>
      <c r="J59" t="s">
        <v>25</v>
      </c>
    </row>
    <row r="60" spans="1:10" x14ac:dyDescent="0.35">
      <c r="A60" t="s">
        <v>117</v>
      </c>
      <c r="B60" t="s">
        <v>118</v>
      </c>
      <c r="C60" t="s">
        <v>48</v>
      </c>
      <c r="D60" t="s">
        <v>37</v>
      </c>
      <c r="E60">
        <v>2500</v>
      </c>
      <c r="F60" t="s">
        <v>78</v>
      </c>
      <c r="G60">
        <v>95</v>
      </c>
      <c r="H60" t="s">
        <v>53</v>
      </c>
      <c r="I60" t="s">
        <v>46</v>
      </c>
      <c r="J60" t="s">
        <v>74</v>
      </c>
    </row>
    <row r="61" spans="1:10" x14ac:dyDescent="0.35">
      <c r="A61" t="s">
        <v>119</v>
      </c>
      <c r="B61" t="s">
        <v>120</v>
      </c>
      <c r="C61" t="s">
        <v>48</v>
      </c>
      <c r="D61" t="s">
        <v>12</v>
      </c>
      <c r="E61">
        <v>-12</v>
      </c>
      <c r="F61" t="s">
        <v>78</v>
      </c>
      <c r="G61">
        <v>2</v>
      </c>
      <c r="H61" t="s">
        <v>53</v>
      </c>
      <c r="I61" t="s">
        <v>44</v>
      </c>
      <c r="J61" t="s">
        <v>42</v>
      </c>
    </row>
    <row r="62" spans="1:10" x14ac:dyDescent="0.35">
      <c r="A62">
        <v>1188</v>
      </c>
      <c r="B62" t="s">
        <v>121</v>
      </c>
      <c r="C62" t="s">
        <v>57</v>
      </c>
      <c r="D62" t="s">
        <v>39</v>
      </c>
      <c r="E62" t="s">
        <v>13</v>
      </c>
      <c r="F62">
        <v>15779</v>
      </c>
      <c r="G62" t="s">
        <v>24</v>
      </c>
      <c r="H62" t="s">
        <v>67</v>
      </c>
      <c r="I62" t="s">
        <v>44</v>
      </c>
      <c r="J62" t="s">
        <v>30</v>
      </c>
    </row>
    <row r="63" spans="1:10" x14ac:dyDescent="0.35">
      <c r="A63" t="s">
        <v>122</v>
      </c>
      <c r="B63" t="s">
        <v>123</v>
      </c>
      <c r="D63" t="s">
        <v>12</v>
      </c>
      <c r="E63">
        <v>28</v>
      </c>
      <c r="F63">
        <v>23317</v>
      </c>
      <c r="G63">
        <v>14</v>
      </c>
      <c r="H63" t="s">
        <v>70</v>
      </c>
      <c r="I63" t="s">
        <v>44</v>
      </c>
      <c r="J63" t="s">
        <v>30</v>
      </c>
    </row>
    <row r="64" spans="1:10" x14ac:dyDescent="0.35">
      <c r="A64" t="s">
        <v>124</v>
      </c>
      <c r="B64" s="1">
        <v>45694</v>
      </c>
      <c r="C64" t="s">
        <v>27</v>
      </c>
      <c r="D64" t="s">
        <v>89</v>
      </c>
      <c r="E64">
        <v>-12</v>
      </c>
      <c r="F64" s="2">
        <v>4500</v>
      </c>
      <c r="G64">
        <v>7</v>
      </c>
      <c r="I64" t="s">
        <v>46</v>
      </c>
      <c r="J64" t="s">
        <v>25</v>
      </c>
    </row>
    <row r="65" spans="1:10" x14ac:dyDescent="0.35">
      <c r="A65" t="s">
        <v>125</v>
      </c>
      <c r="B65" s="1">
        <v>45858</v>
      </c>
      <c r="C65" t="s">
        <v>11</v>
      </c>
      <c r="D65" t="s">
        <v>37</v>
      </c>
      <c r="E65">
        <v>173</v>
      </c>
      <c r="F65">
        <v>-800</v>
      </c>
      <c r="G65">
        <v>95</v>
      </c>
      <c r="H65" t="s">
        <v>18</v>
      </c>
      <c r="I65" t="s">
        <v>14</v>
      </c>
      <c r="J65" t="s">
        <v>25</v>
      </c>
    </row>
    <row r="66" spans="1:10" x14ac:dyDescent="0.35">
      <c r="A66" t="s">
        <v>126</v>
      </c>
      <c r="B66" t="s">
        <v>127</v>
      </c>
      <c r="C66" t="s">
        <v>57</v>
      </c>
      <c r="D66" t="s">
        <v>12</v>
      </c>
      <c r="E66">
        <v>163</v>
      </c>
      <c r="F66">
        <v>850000</v>
      </c>
      <c r="G66">
        <v>3</v>
      </c>
      <c r="H66" t="s">
        <v>70</v>
      </c>
      <c r="I66" t="s">
        <v>14</v>
      </c>
      <c r="J66" t="s">
        <v>25</v>
      </c>
    </row>
    <row r="67" spans="1:10" x14ac:dyDescent="0.35">
      <c r="A67">
        <v>1210</v>
      </c>
      <c r="B67" s="1">
        <v>45929</v>
      </c>
      <c r="D67" t="s">
        <v>32</v>
      </c>
      <c r="E67" t="s">
        <v>13</v>
      </c>
      <c r="F67">
        <v>850000</v>
      </c>
      <c r="G67">
        <v>11</v>
      </c>
      <c r="H67" t="s">
        <v>70</v>
      </c>
      <c r="I67" t="s">
        <v>46</v>
      </c>
      <c r="J67" t="s">
        <v>33</v>
      </c>
    </row>
    <row r="68" spans="1:10" x14ac:dyDescent="0.35">
      <c r="A68" t="s">
        <v>128</v>
      </c>
      <c r="B68" t="s">
        <v>129</v>
      </c>
      <c r="C68" t="s">
        <v>11</v>
      </c>
      <c r="D68" t="s">
        <v>89</v>
      </c>
      <c r="E68">
        <v>-12</v>
      </c>
      <c r="F68">
        <v>11991</v>
      </c>
      <c r="G68" t="s">
        <v>24</v>
      </c>
      <c r="H68" t="s">
        <v>18</v>
      </c>
      <c r="I68" t="s">
        <v>50</v>
      </c>
      <c r="J68" t="s">
        <v>33</v>
      </c>
    </row>
    <row r="69" spans="1:10" x14ac:dyDescent="0.35">
      <c r="A69" t="s">
        <v>130</v>
      </c>
      <c r="B69" t="s">
        <v>131</v>
      </c>
      <c r="C69" t="s">
        <v>48</v>
      </c>
      <c r="D69" t="s">
        <v>28</v>
      </c>
      <c r="E69">
        <v>2500</v>
      </c>
      <c r="F69" t="s">
        <v>78</v>
      </c>
      <c r="G69">
        <v>95</v>
      </c>
      <c r="H69" t="s">
        <v>53</v>
      </c>
      <c r="I69" t="s">
        <v>46</v>
      </c>
      <c r="J69" t="s">
        <v>15</v>
      </c>
    </row>
    <row r="70" spans="1:10" x14ac:dyDescent="0.35">
      <c r="A70">
        <v>1247</v>
      </c>
      <c r="B70" s="1">
        <v>45692</v>
      </c>
      <c r="C70" t="s">
        <v>11</v>
      </c>
      <c r="D70" t="s">
        <v>39</v>
      </c>
      <c r="E70">
        <v>-12</v>
      </c>
      <c r="F70">
        <v>-800</v>
      </c>
      <c r="G70">
        <v>9</v>
      </c>
      <c r="H70" t="s">
        <v>29</v>
      </c>
      <c r="I70" t="s">
        <v>50</v>
      </c>
      <c r="J70" t="s">
        <v>30</v>
      </c>
    </row>
    <row r="71" spans="1:10" x14ac:dyDescent="0.35">
      <c r="A71">
        <v>1061</v>
      </c>
      <c r="B71" t="s">
        <v>132</v>
      </c>
      <c r="C71" t="s">
        <v>57</v>
      </c>
      <c r="D71" t="s">
        <v>28</v>
      </c>
      <c r="E71">
        <v>25</v>
      </c>
      <c r="F71" s="2">
        <v>4500</v>
      </c>
      <c r="G71" t="s">
        <v>24</v>
      </c>
      <c r="H71" t="s">
        <v>67</v>
      </c>
      <c r="I71" t="s">
        <v>50</v>
      </c>
      <c r="J71" t="s">
        <v>20</v>
      </c>
    </row>
    <row r="72" spans="1:10" x14ac:dyDescent="0.35">
      <c r="A72" t="s">
        <v>133</v>
      </c>
      <c r="B72" t="s">
        <v>134</v>
      </c>
      <c r="D72" t="s">
        <v>89</v>
      </c>
      <c r="E72">
        <v>26</v>
      </c>
      <c r="F72" s="2">
        <v>4500</v>
      </c>
      <c r="G72">
        <v>95</v>
      </c>
      <c r="H72" t="s">
        <v>18</v>
      </c>
      <c r="I72" t="s">
        <v>50</v>
      </c>
      <c r="J72" t="s">
        <v>74</v>
      </c>
    </row>
    <row r="73" spans="1:10" x14ac:dyDescent="0.35">
      <c r="A73" t="s">
        <v>135</v>
      </c>
      <c r="B73" s="1">
        <v>45672</v>
      </c>
      <c r="C73" t="s">
        <v>76</v>
      </c>
      <c r="D73" t="s">
        <v>64</v>
      </c>
      <c r="E73" t="s">
        <v>13</v>
      </c>
      <c r="F73">
        <v>33206</v>
      </c>
      <c r="G73">
        <v>95</v>
      </c>
      <c r="H73" t="s">
        <v>29</v>
      </c>
      <c r="I73" t="s">
        <v>41</v>
      </c>
      <c r="J73" t="s">
        <v>42</v>
      </c>
    </row>
    <row r="74" spans="1:10" x14ac:dyDescent="0.35">
      <c r="A74" t="s">
        <v>136</v>
      </c>
      <c r="B74" s="1">
        <v>45715</v>
      </c>
      <c r="D74" t="s">
        <v>73</v>
      </c>
      <c r="E74">
        <v>2500</v>
      </c>
      <c r="F74">
        <v>2289</v>
      </c>
      <c r="G74" t="s">
        <v>24</v>
      </c>
      <c r="H74" t="s">
        <v>18</v>
      </c>
      <c r="I74" t="s">
        <v>19</v>
      </c>
      <c r="J74" t="s">
        <v>30</v>
      </c>
    </row>
    <row r="75" spans="1:10" x14ac:dyDescent="0.35">
      <c r="A75" t="s">
        <v>137</v>
      </c>
      <c r="B75" t="s">
        <v>138</v>
      </c>
      <c r="C75" t="s">
        <v>76</v>
      </c>
      <c r="D75" t="s">
        <v>37</v>
      </c>
      <c r="E75" t="s">
        <v>13</v>
      </c>
      <c r="F75">
        <v>850000</v>
      </c>
      <c r="G75" t="s">
        <v>24</v>
      </c>
      <c r="H75" t="s">
        <v>53</v>
      </c>
      <c r="I75" t="s">
        <v>14</v>
      </c>
      <c r="J75" t="s">
        <v>30</v>
      </c>
    </row>
    <row r="76" spans="1:10" x14ac:dyDescent="0.35">
      <c r="A76" t="s">
        <v>139</v>
      </c>
      <c r="B76" s="1">
        <v>45670</v>
      </c>
      <c r="C76" t="s">
        <v>11</v>
      </c>
      <c r="D76" t="s">
        <v>32</v>
      </c>
      <c r="E76">
        <v>-12</v>
      </c>
      <c r="F76">
        <v>850000</v>
      </c>
      <c r="G76">
        <v>12</v>
      </c>
      <c r="H76" t="s">
        <v>40</v>
      </c>
      <c r="I76" t="s">
        <v>19</v>
      </c>
      <c r="J76" t="s">
        <v>25</v>
      </c>
    </row>
    <row r="77" spans="1:10" x14ac:dyDescent="0.35">
      <c r="A77" t="s">
        <v>140</v>
      </c>
      <c r="B77" s="1">
        <v>45696</v>
      </c>
      <c r="C77" t="s">
        <v>76</v>
      </c>
      <c r="D77" t="s">
        <v>28</v>
      </c>
      <c r="E77">
        <v>154</v>
      </c>
      <c r="F77">
        <v>850000</v>
      </c>
      <c r="G77">
        <v>13</v>
      </c>
      <c r="H77" t="s">
        <v>70</v>
      </c>
      <c r="I77" t="s">
        <v>44</v>
      </c>
      <c r="J77" t="s">
        <v>42</v>
      </c>
    </row>
    <row r="78" spans="1:10" x14ac:dyDescent="0.35">
      <c r="A78" t="s">
        <v>92</v>
      </c>
      <c r="B78" s="1">
        <v>45900</v>
      </c>
      <c r="C78" t="s">
        <v>48</v>
      </c>
      <c r="D78" t="s">
        <v>37</v>
      </c>
      <c r="E78" t="s">
        <v>13</v>
      </c>
      <c r="F78" s="2">
        <v>4500</v>
      </c>
      <c r="G78">
        <v>14</v>
      </c>
      <c r="H78" t="s">
        <v>67</v>
      </c>
      <c r="I78" t="s">
        <v>46</v>
      </c>
      <c r="J78" t="s">
        <v>25</v>
      </c>
    </row>
    <row r="79" spans="1:10" x14ac:dyDescent="0.35">
      <c r="A79" t="s">
        <v>141</v>
      </c>
      <c r="B79" s="1">
        <v>45746</v>
      </c>
      <c r="C79" t="s">
        <v>17</v>
      </c>
      <c r="D79" t="s">
        <v>39</v>
      </c>
      <c r="E79">
        <v>183</v>
      </c>
      <c r="F79">
        <v>8670</v>
      </c>
      <c r="G79">
        <v>3</v>
      </c>
      <c r="H79" t="s">
        <v>49</v>
      </c>
      <c r="I79" t="s">
        <v>14</v>
      </c>
      <c r="J79" t="s">
        <v>74</v>
      </c>
    </row>
    <row r="80" spans="1:10" x14ac:dyDescent="0.35">
      <c r="A80" t="s">
        <v>142</v>
      </c>
      <c r="B80" s="1">
        <v>45943</v>
      </c>
      <c r="C80" t="s">
        <v>36</v>
      </c>
      <c r="D80" t="s">
        <v>73</v>
      </c>
      <c r="E80">
        <v>-12</v>
      </c>
      <c r="F80">
        <v>32861</v>
      </c>
      <c r="G80">
        <v>12</v>
      </c>
      <c r="H80" t="s">
        <v>70</v>
      </c>
      <c r="I80" t="s">
        <v>19</v>
      </c>
      <c r="J80" t="s">
        <v>42</v>
      </c>
    </row>
    <row r="81" spans="1:10" x14ac:dyDescent="0.35">
      <c r="A81" t="s">
        <v>96</v>
      </c>
      <c r="B81" t="s">
        <v>143</v>
      </c>
      <c r="C81" t="s">
        <v>23</v>
      </c>
      <c r="D81" t="s">
        <v>37</v>
      </c>
      <c r="E81">
        <v>2500</v>
      </c>
      <c r="F81">
        <v>8888</v>
      </c>
      <c r="G81">
        <v>95</v>
      </c>
      <c r="H81" t="s">
        <v>29</v>
      </c>
      <c r="I81" t="s">
        <v>44</v>
      </c>
      <c r="J81" t="s">
        <v>30</v>
      </c>
    </row>
    <row r="82" spans="1:10" x14ac:dyDescent="0.35">
      <c r="A82" t="s">
        <v>144</v>
      </c>
      <c r="B82" s="1">
        <v>45815</v>
      </c>
      <c r="C82" t="s">
        <v>23</v>
      </c>
      <c r="D82" t="s">
        <v>39</v>
      </c>
      <c r="E82">
        <v>-12</v>
      </c>
      <c r="F82">
        <v>-800</v>
      </c>
      <c r="G82" t="s">
        <v>24</v>
      </c>
      <c r="H82" t="s">
        <v>18</v>
      </c>
      <c r="I82" t="s">
        <v>19</v>
      </c>
      <c r="J82" t="s">
        <v>74</v>
      </c>
    </row>
    <row r="83" spans="1:10" x14ac:dyDescent="0.35">
      <c r="A83" t="s">
        <v>145</v>
      </c>
      <c r="B83" t="s">
        <v>146</v>
      </c>
      <c r="C83" t="s">
        <v>17</v>
      </c>
      <c r="D83" t="s">
        <v>73</v>
      </c>
      <c r="E83">
        <v>2500</v>
      </c>
      <c r="F83" t="s">
        <v>78</v>
      </c>
      <c r="G83" t="s">
        <v>24</v>
      </c>
      <c r="H83" t="s">
        <v>18</v>
      </c>
      <c r="I83" t="s">
        <v>19</v>
      </c>
      <c r="J83" t="s">
        <v>30</v>
      </c>
    </row>
    <row r="84" spans="1:10" x14ac:dyDescent="0.35">
      <c r="A84" t="s">
        <v>147</v>
      </c>
      <c r="B84" s="1">
        <v>45720</v>
      </c>
      <c r="C84" t="s">
        <v>27</v>
      </c>
      <c r="D84" t="s">
        <v>39</v>
      </c>
      <c r="E84">
        <v>146</v>
      </c>
      <c r="F84" s="2">
        <v>4500</v>
      </c>
      <c r="G84">
        <v>95</v>
      </c>
      <c r="H84" t="s">
        <v>67</v>
      </c>
      <c r="I84" t="s">
        <v>14</v>
      </c>
      <c r="J84" t="s">
        <v>15</v>
      </c>
    </row>
    <row r="85" spans="1:10" x14ac:dyDescent="0.35">
      <c r="A85" t="s">
        <v>148</v>
      </c>
      <c r="B85" s="1">
        <v>45923</v>
      </c>
      <c r="C85" t="s">
        <v>36</v>
      </c>
      <c r="D85" t="s">
        <v>12</v>
      </c>
      <c r="E85">
        <v>2500</v>
      </c>
      <c r="F85">
        <v>850000</v>
      </c>
      <c r="G85">
        <v>11</v>
      </c>
      <c r="H85" t="s">
        <v>29</v>
      </c>
      <c r="I85" t="s">
        <v>19</v>
      </c>
      <c r="J85" t="s">
        <v>20</v>
      </c>
    </row>
    <row r="86" spans="1:10" x14ac:dyDescent="0.35">
      <c r="A86" t="s">
        <v>149</v>
      </c>
      <c r="B86" s="1">
        <v>45794</v>
      </c>
      <c r="C86" t="s">
        <v>57</v>
      </c>
      <c r="D86" t="s">
        <v>64</v>
      </c>
      <c r="E86">
        <v>2500</v>
      </c>
      <c r="F86">
        <v>-800</v>
      </c>
      <c r="G86" t="s">
        <v>24</v>
      </c>
      <c r="H86" t="s">
        <v>49</v>
      </c>
      <c r="I86" t="s">
        <v>19</v>
      </c>
      <c r="J86" t="s">
        <v>20</v>
      </c>
    </row>
    <row r="87" spans="1:10" x14ac:dyDescent="0.35">
      <c r="A87">
        <v>1223</v>
      </c>
      <c r="B87" t="s">
        <v>150</v>
      </c>
      <c r="C87" t="s">
        <v>27</v>
      </c>
      <c r="D87" t="s">
        <v>73</v>
      </c>
      <c r="E87">
        <v>-12</v>
      </c>
      <c r="F87">
        <v>-800</v>
      </c>
      <c r="G87" t="s">
        <v>24</v>
      </c>
      <c r="H87" t="s">
        <v>67</v>
      </c>
      <c r="I87" t="s">
        <v>14</v>
      </c>
      <c r="J87" t="s">
        <v>42</v>
      </c>
    </row>
    <row r="88" spans="1:10" x14ac:dyDescent="0.35">
      <c r="A88" t="s">
        <v>151</v>
      </c>
      <c r="B88" t="s">
        <v>152</v>
      </c>
      <c r="C88" t="s">
        <v>11</v>
      </c>
      <c r="D88" t="s">
        <v>28</v>
      </c>
      <c r="E88" t="s">
        <v>13</v>
      </c>
      <c r="F88">
        <v>-800</v>
      </c>
      <c r="G88">
        <v>5</v>
      </c>
      <c r="H88" t="s">
        <v>49</v>
      </c>
      <c r="I88" t="s">
        <v>14</v>
      </c>
      <c r="J88" t="s">
        <v>30</v>
      </c>
    </row>
    <row r="89" spans="1:10" x14ac:dyDescent="0.35">
      <c r="A89">
        <v>1041</v>
      </c>
      <c r="B89" t="s">
        <v>153</v>
      </c>
      <c r="D89" t="s">
        <v>32</v>
      </c>
      <c r="E89">
        <v>192</v>
      </c>
      <c r="F89">
        <v>-800</v>
      </c>
      <c r="G89" t="s">
        <v>24</v>
      </c>
      <c r="H89" t="s">
        <v>70</v>
      </c>
      <c r="I89" t="s">
        <v>50</v>
      </c>
      <c r="J89" t="s">
        <v>42</v>
      </c>
    </row>
    <row r="90" spans="1:10" x14ac:dyDescent="0.35">
      <c r="A90" t="s">
        <v>154</v>
      </c>
      <c r="B90" t="s">
        <v>155</v>
      </c>
      <c r="C90" t="s">
        <v>17</v>
      </c>
      <c r="D90" t="s">
        <v>37</v>
      </c>
      <c r="E90" t="s">
        <v>13</v>
      </c>
      <c r="F90">
        <v>850000</v>
      </c>
      <c r="G90">
        <v>1</v>
      </c>
      <c r="H90" t="s">
        <v>49</v>
      </c>
      <c r="I90" t="s">
        <v>44</v>
      </c>
      <c r="J90" t="s">
        <v>42</v>
      </c>
    </row>
    <row r="91" spans="1:10" x14ac:dyDescent="0.35">
      <c r="A91" t="s">
        <v>156</v>
      </c>
      <c r="B91" t="s">
        <v>157</v>
      </c>
      <c r="C91" t="s">
        <v>36</v>
      </c>
      <c r="D91" t="s">
        <v>32</v>
      </c>
      <c r="E91">
        <v>2500</v>
      </c>
      <c r="F91">
        <v>4054</v>
      </c>
      <c r="G91">
        <v>10</v>
      </c>
      <c r="H91" t="s">
        <v>67</v>
      </c>
      <c r="I91" t="s">
        <v>44</v>
      </c>
      <c r="J91" t="s">
        <v>33</v>
      </c>
    </row>
    <row r="92" spans="1:10" x14ac:dyDescent="0.35">
      <c r="A92" t="s">
        <v>52</v>
      </c>
      <c r="B92" s="1">
        <v>45697</v>
      </c>
      <c r="C92" t="s">
        <v>17</v>
      </c>
      <c r="D92" t="s">
        <v>32</v>
      </c>
      <c r="E92">
        <v>171</v>
      </c>
      <c r="F92" s="2">
        <v>4500</v>
      </c>
      <c r="G92">
        <v>9</v>
      </c>
      <c r="H92" t="s">
        <v>53</v>
      </c>
      <c r="I92" t="s">
        <v>19</v>
      </c>
      <c r="J92" t="s">
        <v>15</v>
      </c>
    </row>
    <row r="93" spans="1:10" x14ac:dyDescent="0.35">
      <c r="A93" t="s">
        <v>158</v>
      </c>
      <c r="B93" s="1">
        <v>45919</v>
      </c>
      <c r="C93" t="s">
        <v>23</v>
      </c>
      <c r="D93" t="s">
        <v>32</v>
      </c>
      <c r="E93" t="s">
        <v>13</v>
      </c>
      <c r="F93" s="2">
        <v>4500</v>
      </c>
      <c r="G93">
        <v>95</v>
      </c>
      <c r="H93" t="s">
        <v>70</v>
      </c>
      <c r="I93" t="s">
        <v>19</v>
      </c>
      <c r="J93" t="s">
        <v>15</v>
      </c>
    </row>
    <row r="94" spans="1:10" x14ac:dyDescent="0.35">
      <c r="A94" t="s">
        <v>159</v>
      </c>
      <c r="B94" s="1">
        <v>45795</v>
      </c>
      <c r="D94" t="s">
        <v>39</v>
      </c>
      <c r="E94">
        <v>2500</v>
      </c>
      <c r="F94" t="s">
        <v>78</v>
      </c>
      <c r="G94">
        <v>95</v>
      </c>
      <c r="H94" t="s">
        <v>67</v>
      </c>
      <c r="I94" t="s">
        <v>50</v>
      </c>
      <c r="J94" t="s">
        <v>33</v>
      </c>
    </row>
    <row r="95" spans="1:10" x14ac:dyDescent="0.35">
      <c r="A95" t="s">
        <v>160</v>
      </c>
      <c r="B95" s="1">
        <v>45926</v>
      </c>
      <c r="C95" t="s">
        <v>76</v>
      </c>
      <c r="D95" t="s">
        <v>28</v>
      </c>
      <c r="E95">
        <v>2500</v>
      </c>
      <c r="F95" s="2">
        <v>4500</v>
      </c>
      <c r="G95">
        <v>8</v>
      </c>
      <c r="H95" t="s">
        <v>70</v>
      </c>
      <c r="I95" t="s">
        <v>41</v>
      </c>
      <c r="J95" t="s">
        <v>42</v>
      </c>
    </row>
    <row r="96" spans="1:10" x14ac:dyDescent="0.35">
      <c r="A96" t="s">
        <v>161</v>
      </c>
      <c r="B96" s="1">
        <v>45698</v>
      </c>
      <c r="C96" t="s">
        <v>27</v>
      </c>
      <c r="D96" t="s">
        <v>39</v>
      </c>
      <c r="E96">
        <v>-12</v>
      </c>
      <c r="F96">
        <v>-800</v>
      </c>
      <c r="G96" t="s">
        <v>24</v>
      </c>
      <c r="H96" t="s">
        <v>70</v>
      </c>
      <c r="I96" t="s">
        <v>50</v>
      </c>
      <c r="J96" t="s">
        <v>33</v>
      </c>
    </row>
    <row r="97" spans="1:10" x14ac:dyDescent="0.35">
      <c r="A97" t="s">
        <v>162</v>
      </c>
      <c r="B97" s="1">
        <v>45892</v>
      </c>
      <c r="C97" t="s">
        <v>27</v>
      </c>
      <c r="D97" t="s">
        <v>64</v>
      </c>
      <c r="E97">
        <v>2500</v>
      </c>
      <c r="F97" t="s">
        <v>78</v>
      </c>
      <c r="G97">
        <v>95</v>
      </c>
      <c r="I97" t="s">
        <v>19</v>
      </c>
      <c r="J97" t="s">
        <v>25</v>
      </c>
    </row>
    <row r="98" spans="1:10" x14ac:dyDescent="0.35">
      <c r="A98" t="s">
        <v>163</v>
      </c>
      <c r="B98" s="1">
        <v>45750</v>
      </c>
      <c r="C98" t="s">
        <v>48</v>
      </c>
      <c r="D98" t="s">
        <v>39</v>
      </c>
      <c r="E98">
        <v>102</v>
      </c>
      <c r="F98">
        <v>-800</v>
      </c>
      <c r="G98">
        <v>9</v>
      </c>
      <c r="H98" t="s">
        <v>49</v>
      </c>
      <c r="I98" t="s">
        <v>41</v>
      </c>
      <c r="J98" t="s">
        <v>25</v>
      </c>
    </row>
    <row r="99" spans="1:10" x14ac:dyDescent="0.35">
      <c r="A99" t="s">
        <v>164</v>
      </c>
      <c r="B99" s="1">
        <v>45677</v>
      </c>
      <c r="C99" t="s">
        <v>48</v>
      </c>
      <c r="D99" t="s">
        <v>64</v>
      </c>
      <c r="E99">
        <v>-12</v>
      </c>
      <c r="F99" t="s">
        <v>78</v>
      </c>
      <c r="G99">
        <v>2</v>
      </c>
      <c r="H99" t="s">
        <v>70</v>
      </c>
      <c r="I99" t="s">
        <v>19</v>
      </c>
      <c r="J99" t="s">
        <v>15</v>
      </c>
    </row>
    <row r="100" spans="1:10" x14ac:dyDescent="0.35">
      <c r="A100">
        <v>1082</v>
      </c>
      <c r="B100" s="1">
        <v>45780</v>
      </c>
      <c r="C100" t="s">
        <v>11</v>
      </c>
      <c r="D100" t="s">
        <v>89</v>
      </c>
      <c r="E100" t="s">
        <v>13</v>
      </c>
      <c r="F100">
        <v>850000</v>
      </c>
      <c r="G100">
        <v>95</v>
      </c>
      <c r="H100" t="s">
        <v>29</v>
      </c>
      <c r="I100" t="s">
        <v>14</v>
      </c>
      <c r="J100" t="s">
        <v>74</v>
      </c>
    </row>
    <row r="101" spans="1:10" x14ac:dyDescent="0.35">
      <c r="A101" t="s">
        <v>165</v>
      </c>
      <c r="B101" t="s">
        <v>166</v>
      </c>
      <c r="C101" t="s">
        <v>17</v>
      </c>
      <c r="D101" t="s">
        <v>28</v>
      </c>
      <c r="E101">
        <v>160</v>
      </c>
      <c r="F101">
        <v>850000</v>
      </c>
      <c r="G101" t="s">
        <v>24</v>
      </c>
      <c r="H101" t="s">
        <v>70</v>
      </c>
      <c r="I101" t="s">
        <v>14</v>
      </c>
      <c r="J101" t="s">
        <v>30</v>
      </c>
    </row>
    <row r="102" spans="1:10" x14ac:dyDescent="0.35">
      <c r="A102">
        <v>1059</v>
      </c>
      <c r="B102" s="1">
        <v>45710</v>
      </c>
      <c r="C102" t="s">
        <v>27</v>
      </c>
      <c r="D102" t="s">
        <v>39</v>
      </c>
      <c r="E102">
        <v>-12</v>
      </c>
      <c r="F102">
        <v>-800</v>
      </c>
      <c r="G102">
        <v>1</v>
      </c>
      <c r="H102" t="s">
        <v>18</v>
      </c>
      <c r="I102" t="s">
        <v>41</v>
      </c>
      <c r="J102" t="s">
        <v>33</v>
      </c>
    </row>
    <row r="103" spans="1:10" x14ac:dyDescent="0.35">
      <c r="A103" t="s">
        <v>167</v>
      </c>
      <c r="B103" s="1">
        <v>45995</v>
      </c>
      <c r="C103" t="s">
        <v>27</v>
      </c>
      <c r="D103" t="s">
        <v>89</v>
      </c>
      <c r="E103">
        <v>2500</v>
      </c>
      <c r="F103" s="2">
        <v>4500</v>
      </c>
      <c r="G103">
        <v>95</v>
      </c>
      <c r="H103" t="s">
        <v>67</v>
      </c>
      <c r="I103" t="s">
        <v>14</v>
      </c>
      <c r="J103" t="s">
        <v>42</v>
      </c>
    </row>
    <row r="104" spans="1:10" x14ac:dyDescent="0.35">
      <c r="A104" t="s">
        <v>168</v>
      </c>
      <c r="B104" t="s">
        <v>169</v>
      </c>
      <c r="C104" t="s">
        <v>11</v>
      </c>
      <c r="D104" t="s">
        <v>12</v>
      </c>
      <c r="E104">
        <v>198</v>
      </c>
      <c r="F104">
        <v>42794</v>
      </c>
      <c r="G104">
        <v>1</v>
      </c>
      <c r="H104" t="s">
        <v>49</v>
      </c>
      <c r="I104" t="s">
        <v>14</v>
      </c>
      <c r="J104" t="s">
        <v>30</v>
      </c>
    </row>
    <row r="105" spans="1:10" x14ac:dyDescent="0.35">
      <c r="A105" t="s">
        <v>170</v>
      </c>
      <c r="B105" t="s">
        <v>171</v>
      </c>
      <c r="C105" t="s">
        <v>23</v>
      </c>
      <c r="D105" t="s">
        <v>64</v>
      </c>
      <c r="E105" t="s">
        <v>13</v>
      </c>
      <c r="F105">
        <v>39357</v>
      </c>
      <c r="G105">
        <v>7</v>
      </c>
      <c r="H105" t="s">
        <v>18</v>
      </c>
      <c r="I105" t="s">
        <v>14</v>
      </c>
      <c r="J105" t="s">
        <v>74</v>
      </c>
    </row>
    <row r="106" spans="1:10" x14ac:dyDescent="0.35">
      <c r="A106" t="s">
        <v>172</v>
      </c>
      <c r="B106" s="1">
        <v>45696</v>
      </c>
      <c r="C106" t="s">
        <v>57</v>
      </c>
      <c r="D106" t="s">
        <v>37</v>
      </c>
      <c r="E106">
        <v>-12</v>
      </c>
      <c r="F106">
        <v>47281</v>
      </c>
      <c r="G106">
        <v>95</v>
      </c>
      <c r="H106" t="s">
        <v>40</v>
      </c>
      <c r="I106" t="s">
        <v>46</v>
      </c>
      <c r="J106" t="s">
        <v>15</v>
      </c>
    </row>
    <row r="107" spans="1:10" x14ac:dyDescent="0.35">
      <c r="A107" t="s">
        <v>173</v>
      </c>
      <c r="B107" t="s">
        <v>174</v>
      </c>
      <c r="C107" t="s">
        <v>36</v>
      </c>
      <c r="D107" t="s">
        <v>28</v>
      </c>
      <c r="E107">
        <v>-12</v>
      </c>
      <c r="F107">
        <v>850000</v>
      </c>
      <c r="G107" t="s">
        <v>24</v>
      </c>
      <c r="H107" t="s">
        <v>49</v>
      </c>
      <c r="I107" t="s">
        <v>14</v>
      </c>
      <c r="J107" t="s">
        <v>25</v>
      </c>
    </row>
    <row r="108" spans="1:10" x14ac:dyDescent="0.35">
      <c r="A108" t="s">
        <v>175</v>
      </c>
      <c r="B108" s="1">
        <v>45729</v>
      </c>
      <c r="C108" t="s">
        <v>36</v>
      </c>
      <c r="D108" t="s">
        <v>28</v>
      </c>
      <c r="E108" t="s">
        <v>13</v>
      </c>
      <c r="F108">
        <v>850000</v>
      </c>
      <c r="G108" t="s">
        <v>24</v>
      </c>
      <c r="H108" t="s">
        <v>70</v>
      </c>
      <c r="I108" t="s">
        <v>14</v>
      </c>
      <c r="J108" t="s">
        <v>33</v>
      </c>
    </row>
    <row r="109" spans="1:10" x14ac:dyDescent="0.35">
      <c r="A109" t="s">
        <v>176</v>
      </c>
      <c r="B109" s="1">
        <v>45811</v>
      </c>
      <c r="C109" t="s">
        <v>17</v>
      </c>
      <c r="D109" t="s">
        <v>89</v>
      </c>
      <c r="E109">
        <v>160</v>
      </c>
      <c r="F109" s="2">
        <v>4500</v>
      </c>
      <c r="G109" t="s">
        <v>24</v>
      </c>
      <c r="H109" t="s">
        <v>53</v>
      </c>
      <c r="I109" t="s">
        <v>46</v>
      </c>
      <c r="J109" t="s">
        <v>25</v>
      </c>
    </row>
    <row r="110" spans="1:10" x14ac:dyDescent="0.35">
      <c r="A110" t="s">
        <v>177</v>
      </c>
      <c r="B110" s="1">
        <v>45800</v>
      </c>
      <c r="C110" t="s">
        <v>17</v>
      </c>
      <c r="D110" t="s">
        <v>37</v>
      </c>
      <c r="E110">
        <v>2500</v>
      </c>
      <c r="F110">
        <v>40605</v>
      </c>
      <c r="G110" t="s">
        <v>24</v>
      </c>
      <c r="H110" t="s">
        <v>70</v>
      </c>
      <c r="I110" t="s">
        <v>41</v>
      </c>
      <c r="J110" t="s">
        <v>20</v>
      </c>
    </row>
    <row r="111" spans="1:10" x14ac:dyDescent="0.35">
      <c r="A111" t="s">
        <v>178</v>
      </c>
      <c r="B111" t="s">
        <v>179</v>
      </c>
      <c r="C111" t="s">
        <v>36</v>
      </c>
      <c r="D111" t="s">
        <v>12</v>
      </c>
      <c r="E111">
        <v>161</v>
      </c>
      <c r="F111">
        <v>21985</v>
      </c>
      <c r="G111">
        <v>95</v>
      </c>
      <c r="H111" t="s">
        <v>29</v>
      </c>
      <c r="I111" t="s">
        <v>19</v>
      </c>
      <c r="J111" t="s">
        <v>15</v>
      </c>
    </row>
    <row r="112" spans="1:10" x14ac:dyDescent="0.35">
      <c r="A112" t="s">
        <v>180</v>
      </c>
      <c r="B112" t="s">
        <v>116</v>
      </c>
      <c r="C112" t="s">
        <v>11</v>
      </c>
      <c r="D112" t="s">
        <v>89</v>
      </c>
      <c r="E112">
        <v>-12</v>
      </c>
      <c r="F112" s="2">
        <v>4500</v>
      </c>
      <c r="G112" t="s">
        <v>24</v>
      </c>
      <c r="H112" t="s">
        <v>67</v>
      </c>
      <c r="I112" t="s">
        <v>50</v>
      </c>
      <c r="J112" t="s">
        <v>20</v>
      </c>
    </row>
    <row r="113" spans="1:10" x14ac:dyDescent="0.35">
      <c r="A113" t="s">
        <v>161</v>
      </c>
      <c r="B113" s="1">
        <v>45711</v>
      </c>
      <c r="C113" t="s">
        <v>36</v>
      </c>
      <c r="D113" t="s">
        <v>89</v>
      </c>
      <c r="E113">
        <v>-12</v>
      </c>
      <c r="F113">
        <v>39781</v>
      </c>
      <c r="G113">
        <v>10</v>
      </c>
      <c r="H113" t="s">
        <v>18</v>
      </c>
      <c r="I113" t="s">
        <v>41</v>
      </c>
      <c r="J113" t="s">
        <v>42</v>
      </c>
    </row>
    <row r="114" spans="1:10" x14ac:dyDescent="0.35">
      <c r="A114" t="s">
        <v>181</v>
      </c>
      <c r="B114" s="1">
        <v>45718</v>
      </c>
      <c r="C114" t="s">
        <v>11</v>
      </c>
      <c r="D114" t="s">
        <v>37</v>
      </c>
      <c r="E114">
        <v>2500</v>
      </c>
      <c r="F114">
        <v>850000</v>
      </c>
      <c r="G114" t="s">
        <v>24</v>
      </c>
      <c r="H114" t="s">
        <v>29</v>
      </c>
      <c r="I114" t="s">
        <v>19</v>
      </c>
      <c r="J114" t="s">
        <v>25</v>
      </c>
    </row>
    <row r="115" spans="1:10" x14ac:dyDescent="0.35">
      <c r="A115">
        <v>1168</v>
      </c>
      <c r="B115" t="s">
        <v>182</v>
      </c>
      <c r="C115" t="s">
        <v>48</v>
      </c>
      <c r="D115" t="s">
        <v>73</v>
      </c>
      <c r="E115" t="s">
        <v>13</v>
      </c>
      <c r="F115" t="s">
        <v>78</v>
      </c>
      <c r="G115">
        <v>4</v>
      </c>
      <c r="H115" t="s">
        <v>18</v>
      </c>
      <c r="I115" t="s">
        <v>50</v>
      </c>
      <c r="J115" t="s">
        <v>25</v>
      </c>
    </row>
    <row r="116" spans="1:10" x14ac:dyDescent="0.35">
      <c r="A116">
        <v>1207</v>
      </c>
      <c r="B116" t="s">
        <v>108</v>
      </c>
      <c r="C116" t="s">
        <v>11</v>
      </c>
      <c r="D116" t="s">
        <v>12</v>
      </c>
      <c r="E116">
        <v>2500</v>
      </c>
      <c r="F116" s="2">
        <v>4500</v>
      </c>
      <c r="G116">
        <v>95</v>
      </c>
      <c r="H116" t="s">
        <v>70</v>
      </c>
      <c r="I116" t="s">
        <v>44</v>
      </c>
      <c r="J116" t="s">
        <v>15</v>
      </c>
    </row>
    <row r="117" spans="1:10" x14ac:dyDescent="0.35">
      <c r="A117" t="s">
        <v>68</v>
      </c>
      <c r="B117" t="s">
        <v>183</v>
      </c>
      <c r="D117" t="s">
        <v>12</v>
      </c>
      <c r="E117">
        <v>-12</v>
      </c>
      <c r="F117">
        <v>1702</v>
      </c>
      <c r="G117">
        <v>95</v>
      </c>
      <c r="H117" t="s">
        <v>29</v>
      </c>
      <c r="I117" t="s">
        <v>41</v>
      </c>
      <c r="J117" t="s">
        <v>74</v>
      </c>
    </row>
    <row r="118" spans="1:10" x14ac:dyDescent="0.35">
      <c r="A118" t="s">
        <v>184</v>
      </c>
      <c r="B118" s="1">
        <v>45850</v>
      </c>
      <c r="C118" t="s">
        <v>23</v>
      </c>
      <c r="D118" t="s">
        <v>64</v>
      </c>
      <c r="E118" t="s">
        <v>13</v>
      </c>
      <c r="F118">
        <v>-800</v>
      </c>
      <c r="G118">
        <v>5</v>
      </c>
      <c r="H118" t="s">
        <v>29</v>
      </c>
      <c r="I118" t="s">
        <v>44</v>
      </c>
      <c r="J118" t="s">
        <v>33</v>
      </c>
    </row>
    <row r="119" spans="1:10" x14ac:dyDescent="0.35">
      <c r="A119" t="s">
        <v>185</v>
      </c>
      <c r="B119" t="s">
        <v>186</v>
      </c>
      <c r="C119" t="s">
        <v>76</v>
      </c>
      <c r="D119" t="s">
        <v>73</v>
      </c>
      <c r="E119">
        <v>2500</v>
      </c>
      <c r="F119" s="2">
        <v>4500</v>
      </c>
      <c r="G119">
        <v>95</v>
      </c>
      <c r="H119" t="s">
        <v>67</v>
      </c>
      <c r="I119" t="s">
        <v>19</v>
      </c>
      <c r="J119" t="s">
        <v>42</v>
      </c>
    </row>
    <row r="120" spans="1:10" x14ac:dyDescent="0.35">
      <c r="A120" t="s">
        <v>187</v>
      </c>
      <c r="B120" t="s">
        <v>188</v>
      </c>
      <c r="C120" t="s">
        <v>36</v>
      </c>
      <c r="D120" t="s">
        <v>12</v>
      </c>
      <c r="E120">
        <v>2500</v>
      </c>
      <c r="F120">
        <v>-800</v>
      </c>
      <c r="G120" t="s">
        <v>24</v>
      </c>
      <c r="H120" t="s">
        <v>70</v>
      </c>
      <c r="I120" t="s">
        <v>14</v>
      </c>
      <c r="J120" t="s">
        <v>33</v>
      </c>
    </row>
    <row r="121" spans="1:10" x14ac:dyDescent="0.35">
      <c r="A121" t="s">
        <v>189</v>
      </c>
      <c r="B121" s="1">
        <v>45700</v>
      </c>
      <c r="D121" t="s">
        <v>64</v>
      </c>
      <c r="E121">
        <v>-12</v>
      </c>
      <c r="F121">
        <v>850000</v>
      </c>
      <c r="G121" t="s">
        <v>24</v>
      </c>
      <c r="H121" t="s">
        <v>40</v>
      </c>
      <c r="I121" t="s">
        <v>14</v>
      </c>
      <c r="J121" t="s">
        <v>25</v>
      </c>
    </row>
    <row r="122" spans="1:10" x14ac:dyDescent="0.35">
      <c r="A122" t="s">
        <v>163</v>
      </c>
      <c r="B122" t="s">
        <v>190</v>
      </c>
      <c r="C122" t="s">
        <v>11</v>
      </c>
      <c r="D122" t="s">
        <v>28</v>
      </c>
      <c r="E122">
        <v>-12</v>
      </c>
      <c r="F122">
        <v>850000</v>
      </c>
      <c r="G122">
        <v>95</v>
      </c>
      <c r="H122" t="s">
        <v>70</v>
      </c>
      <c r="I122" t="s">
        <v>14</v>
      </c>
      <c r="J122" t="s">
        <v>33</v>
      </c>
    </row>
    <row r="123" spans="1:10" x14ac:dyDescent="0.35">
      <c r="A123" t="s">
        <v>191</v>
      </c>
      <c r="B123" s="1">
        <v>46022</v>
      </c>
      <c r="C123" t="s">
        <v>48</v>
      </c>
      <c r="D123" t="s">
        <v>12</v>
      </c>
      <c r="E123">
        <v>-12</v>
      </c>
      <c r="F123">
        <v>-800</v>
      </c>
      <c r="G123" t="s">
        <v>24</v>
      </c>
      <c r="I123" t="s">
        <v>50</v>
      </c>
      <c r="J123" t="s">
        <v>20</v>
      </c>
    </row>
    <row r="124" spans="1:10" x14ac:dyDescent="0.35">
      <c r="A124" t="s">
        <v>192</v>
      </c>
      <c r="B124" s="1">
        <v>45662</v>
      </c>
      <c r="D124" t="s">
        <v>39</v>
      </c>
      <c r="E124">
        <v>152</v>
      </c>
      <c r="F124" t="s">
        <v>78</v>
      </c>
      <c r="G124" t="s">
        <v>24</v>
      </c>
      <c r="H124" t="s">
        <v>40</v>
      </c>
      <c r="I124" t="s">
        <v>46</v>
      </c>
      <c r="J124" t="s">
        <v>30</v>
      </c>
    </row>
    <row r="125" spans="1:10" x14ac:dyDescent="0.35">
      <c r="A125" t="s">
        <v>193</v>
      </c>
      <c r="B125" t="s">
        <v>194</v>
      </c>
      <c r="C125" t="s">
        <v>36</v>
      </c>
      <c r="D125" t="s">
        <v>28</v>
      </c>
      <c r="E125">
        <v>-12</v>
      </c>
      <c r="F125" s="2">
        <v>4500</v>
      </c>
      <c r="G125">
        <v>95</v>
      </c>
      <c r="H125" t="s">
        <v>49</v>
      </c>
      <c r="I125" t="s">
        <v>50</v>
      </c>
      <c r="J125" t="s">
        <v>42</v>
      </c>
    </row>
    <row r="126" spans="1:10" x14ac:dyDescent="0.35">
      <c r="A126" t="s">
        <v>195</v>
      </c>
      <c r="B126" t="s">
        <v>196</v>
      </c>
      <c r="C126" t="s">
        <v>48</v>
      </c>
      <c r="D126" t="s">
        <v>37</v>
      </c>
      <c r="E126">
        <v>2500</v>
      </c>
      <c r="F126">
        <v>-800</v>
      </c>
      <c r="G126" t="s">
        <v>24</v>
      </c>
      <c r="H126" t="s">
        <v>67</v>
      </c>
      <c r="I126" t="s">
        <v>50</v>
      </c>
      <c r="J126" t="s">
        <v>42</v>
      </c>
    </row>
    <row r="127" spans="1:10" x14ac:dyDescent="0.35">
      <c r="A127" t="s">
        <v>88</v>
      </c>
      <c r="B127" s="1">
        <v>45766</v>
      </c>
      <c r="C127" t="s">
        <v>48</v>
      </c>
      <c r="D127" t="s">
        <v>28</v>
      </c>
      <c r="E127" t="s">
        <v>13</v>
      </c>
      <c r="F127">
        <v>850000</v>
      </c>
      <c r="G127">
        <v>11</v>
      </c>
      <c r="H127" t="s">
        <v>18</v>
      </c>
      <c r="I127" t="s">
        <v>41</v>
      </c>
      <c r="J127" t="s">
        <v>30</v>
      </c>
    </row>
    <row r="128" spans="1:10" x14ac:dyDescent="0.35">
      <c r="A128" t="s">
        <v>197</v>
      </c>
      <c r="B128" s="1">
        <v>45994</v>
      </c>
      <c r="C128" t="s">
        <v>27</v>
      </c>
      <c r="D128" t="s">
        <v>12</v>
      </c>
      <c r="E128" t="s">
        <v>13</v>
      </c>
      <c r="F128">
        <v>16349</v>
      </c>
      <c r="G128">
        <v>10</v>
      </c>
      <c r="H128" t="s">
        <v>67</v>
      </c>
      <c r="I128" t="s">
        <v>14</v>
      </c>
      <c r="J128" t="s">
        <v>30</v>
      </c>
    </row>
    <row r="129" spans="1:10" x14ac:dyDescent="0.35">
      <c r="A129" t="s">
        <v>198</v>
      </c>
      <c r="B129" t="s">
        <v>54</v>
      </c>
      <c r="C129" t="s">
        <v>27</v>
      </c>
      <c r="D129" t="s">
        <v>39</v>
      </c>
      <c r="E129">
        <v>2500</v>
      </c>
      <c r="F129">
        <v>-800</v>
      </c>
      <c r="G129">
        <v>95</v>
      </c>
      <c r="H129" t="s">
        <v>67</v>
      </c>
      <c r="I129" t="s">
        <v>44</v>
      </c>
      <c r="J129" t="s">
        <v>25</v>
      </c>
    </row>
    <row r="130" spans="1:10" x14ac:dyDescent="0.35">
      <c r="A130" t="s">
        <v>151</v>
      </c>
      <c r="B130" s="1">
        <v>45812</v>
      </c>
      <c r="D130" t="s">
        <v>12</v>
      </c>
      <c r="E130">
        <v>-12</v>
      </c>
      <c r="F130" t="s">
        <v>78</v>
      </c>
      <c r="G130" t="s">
        <v>24</v>
      </c>
      <c r="H130" t="s">
        <v>29</v>
      </c>
      <c r="I130" t="s">
        <v>41</v>
      </c>
      <c r="J130" t="s">
        <v>42</v>
      </c>
    </row>
    <row r="131" spans="1:10" x14ac:dyDescent="0.35">
      <c r="A131" t="s">
        <v>199</v>
      </c>
      <c r="B131" s="1">
        <v>45688</v>
      </c>
      <c r="C131" t="s">
        <v>23</v>
      </c>
      <c r="D131" t="s">
        <v>37</v>
      </c>
      <c r="E131" t="s">
        <v>13</v>
      </c>
      <c r="F131" t="s">
        <v>78</v>
      </c>
      <c r="G131">
        <v>95</v>
      </c>
      <c r="I131" t="s">
        <v>14</v>
      </c>
      <c r="J131" t="s">
        <v>74</v>
      </c>
    </row>
    <row r="132" spans="1:10" x14ac:dyDescent="0.35">
      <c r="A132" t="s">
        <v>200</v>
      </c>
      <c r="B132" s="1">
        <v>45758</v>
      </c>
      <c r="C132" t="s">
        <v>11</v>
      </c>
      <c r="D132" t="s">
        <v>37</v>
      </c>
      <c r="E132">
        <v>2500</v>
      </c>
      <c r="F132" s="2">
        <v>4500</v>
      </c>
      <c r="G132">
        <v>95</v>
      </c>
      <c r="H132" t="s">
        <v>49</v>
      </c>
      <c r="I132" t="s">
        <v>46</v>
      </c>
      <c r="J132" t="s">
        <v>74</v>
      </c>
    </row>
    <row r="133" spans="1:10" x14ac:dyDescent="0.35">
      <c r="A133" t="s">
        <v>201</v>
      </c>
      <c r="B133" t="s">
        <v>202</v>
      </c>
      <c r="D133" t="s">
        <v>28</v>
      </c>
      <c r="E133">
        <v>106</v>
      </c>
      <c r="F133" s="2">
        <v>4500</v>
      </c>
      <c r="G133">
        <v>95</v>
      </c>
      <c r="H133" t="s">
        <v>40</v>
      </c>
      <c r="I133" t="s">
        <v>19</v>
      </c>
      <c r="J133" t="s">
        <v>15</v>
      </c>
    </row>
    <row r="134" spans="1:10" x14ac:dyDescent="0.35">
      <c r="A134" t="s">
        <v>203</v>
      </c>
      <c r="B134" t="s">
        <v>204</v>
      </c>
      <c r="C134" t="s">
        <v>11</v>
      </c>
      <c r="D134" t="s">
        <v>37</v>
      </c>
      <c r="E134">
        <v>-12</v>
      </c>
      <c r="F134" s="2">
        <v>4500</v>
      </c>
      <c r="G134" t="s">
        <v>24</v>
      </c>
      <c r="H134" t="s">
        <v>49</v>
      </c>
      <c r="I134" t="s">
        <v>19</v>
      </c>
      <c r="J134" t="s">
        <v>74</v>
      </c>
    </row>
    <row r="135" spans="1:10" x14ac:dyDescent="0.35">
      <c r="A135" t="s">
        <v>105</v>
      </c>
      <c r="B135" s="1">
        <v>45906</v>
      </c>
      <c r="C135" t="s">
        <v>36</v>
      </c>
      <c r="D135" t="s">
        <v>32</v>
      </c>
      <c r="E135">
        <v>-12</v>
      </c>
      <c r="F135" s="2">
        <v>4500</v>
      </c>
      <c r="G135">
        <v>95</v>
      </c>
      <c r="H135" t="s">
        <v>49</v>
      </c>
      <c r="I135" t="s">
        <v>14</v>
      </c>
      <c r="J135" t="s">
        <v>42</v>
      </c>
    </row>
    <row r="136" spans="1:10" x14ac:dyDescent="0.35">
      <c r="A136" t="s">
        <v>205</v>
      </c>
      <c r="B136" t="s">
        <v>206</v>
      </c>
      <c r="C136" t="s">
        <v>36</v>
      </c>
      <c r="D136" t="s">
        <v>37</v>
      </c>
      <c r="E136">
        <v>-12</v>
      </c>
      <c r="F136" t="s">
        <v>78</v>
      </c>
      <c r="G136" t="s">
        <v>24</v>
      </c>
      <c r="I136" t="s">
        <v>19</v>
      </c>
      <c r="J136" t="s">
        <v>15</v>
      </c>
    </row>
    <row r="137" spans="1:10" x14ac:dyDescent="0.35">
      <c r="A137" t="s">
        <v>207</v>
      </c>
      <c r="B137" t="s">
        <v>208</v>
      </c>
      <c r="C137" t="s">
        <v>36</v>
      </c>
      <c r="D137" t="s">
        <v>32</v>
      </c>
      <c r="E137" t="s">
        <v>13</v>
      </c>
      <c r="F137" s="2">
        <v>4500</v>
      </c>
      <c r="G137" t="s">
        <v>24</v>
      </c>
      <c r="H137" t="s">
        <v>70</v>
      </c>
      <c r="I137" t="s">
        <v>44</v>
      </c>
      <c r="J137" t="s">
        <v>74</v>
      </c>
    </row>
    <row r="138" spans="1:10" x14ac:dyDescent="0.35">
      <c r="A138" t="s">
        <v>209</v>
      </c>
      <c r="B138" t="s">
        <v>210</v>
      </c>
      <c r="C138" t="s">
        <v>48</v>
      </c>
      <c r="D138" t="s">
        <v>32</v>
      </c>
      <c r="E138" t="s">
        <v>13</v>
      </c>
      <c r="F138" s="2">
        <v>4500</v>
      </c>
      <c r="G138">
        <v>95</v>
      </c>
      <c r="H138" t="s">
        <v>70</v>
      </c>
      <c r="I138" t="s">
        <v>46</v>
      </c>
      <c r="J138" t="s">
        <v>42</v>
      </c>
    </row>
    <row r="139" spans="1:10" x14ac:dyDescent="0.35">
      <c r="A139" t="s">
        <v>211</v>
      </c>
      <c r="B139" s="1">
        <v>45795</v>
      </c>
      <c r="C139" t="s">
        <v>27</v>
      </c>
      <c r="D139" t="s">
        <v>28</v>
      </c>
      <c r="E139">
        <v>147</v>
      </c>
      <c r="F139" t="s">
        <v>78</v>
      </c>
      <c r="G139">
        <v>95</v>
      </c>
      <c r="H139" t="s">
        <v>67</v>
      </c>
      <c r="I139" t="s">
        <v>14</v>
      </c>
      <c r="J139" t="s">
        <v>74</v>
      </c>
    </row>
    <row r="140" spans="1:10" x14ac:dyDescent="0.35">
      <c r="A140" t="s">
        <v>212</v>
      </c>
      <c r="B140" t="s">
        <v>213</v>
      </c>
      <c r="C140" t="s">
        <v>57</v>
      </c>
      <c r="D140" t="s">
        <v>28</v>
      </c>
      <c r="E140">
        <v>-12</v>
      </c>
      <c r="F140">
        <v>-800</v>
      </c>
      <c r="G140" t="s">
        <v>24</v>
      </c>
      <c r="H140" t="s">
        <v>40</v>
      </c>
      <c r="I140" t="s">
        <v>46</v>
      </c>
      <c r="J140" t="s">
        <v>15</v>
      </c>
    </row>
    <row r="141" spans="1:10" x14ac:dyDescent="0.35">
      <c r="A141" t="s">
        <v>214</v>
      </c>
      <c r="B141" t="s">
        <v>215</v>
      </c>
      <c r="C141" t="s">
        <v>27</v>
      </c>
      <c r="D141" t="s">
        <v>39</v>
      </c>
      <c r="E141" t="s">
        <v>13</v>
      </c>
      <c r="F141">
        <v>850000</v>
      </c>
      <c r="G141" t="s">
        <v>24</v>
      </c>
      <c r="H141" t="s">
        <v>49</v>
      </c>
      <c r="I141" t="s">
        <v>46</v>
      </c>
      <c r="J141" t="s">
        <v>15</v>
      </c>
    </row>
    <row r="142" spans="1:10" x14ac:dyDescent="0.35">
      <c r="A142" t="s">
        <v>216</v>
      </c>
      <c r="B142" s="1">
        <v>46014</v>
      </c>
      <c r="D142" t="s">
        <v>28</v>
      </c>
      <c r="E142">
        <v>2500</v>
      </c>
      <c r="F142" s="2">
        <v>4500</v>
      </c>
      <c r="G142">
        <v>95</v>
      </c>
      <c r="H142" t="s">
        <v>67</v>
      </c>
      <c r="I142" t="s">
        <v>50</v>
      </c>
      <c r="J142" t="s">
        <v>30</v>
      </c>
    </row>
    <row r="143" spans="1:10" x14ac:dyDescent="0.35">
      <c r="A143" t="s">
        <v>217</v>
      </c>
      <c r="B143" t="s">
        <v>218</v>
      </c>
      <c r="C143" t="s">
        <v>27</v>
      </c>
      <c r="D143" t="s">
        <v>12</v>
      </c>
      <c r="E143">
        <v>-12</v>
      </c>
      <c r="F143">
        <v>850000</v>
      </c>
      <c r="G143" t="s">
        <v>24</v>
      </c>
      <c r="H143" t="s">
        <v>29</v>
      </c>
      <c r="I143" t="s">
        <v>19</v>
      </c>
      <c r="J143" t="s">
        <v>42</v>
      </c>
    </row>
    <row r="144" spans="1:10" x14ac:dyDescent="0.35">
      <c r="A144" t="s">
        <v>219</v>
      </c>
      <c r="B144" t="s">
        <v>220</v>
      </c>
      <c r="C144" t="s">
        <v>48</v>
      </c>
      <c r="D144" t="s">
        <v>37</v>
      </c>
      <c r="E144">
        <v>44</v>
      </c>
      <c r="F144">
        <v>18704</v>
      </c>
      <c r="G144">
        <v>3</v>
      </c>
      <c r="H144" t="s">
        <v>18</v>
      </c>
      <c r="I144" t="s">
        <v>41</v>
      </c>
      <c r="J144" t="s">
        <v>15</v>
      </c>
    </row>
    <row r="145" spans="1:10" x14ac:dyDescent="0.35">
      <c r="A145" t="s">
        <v>85</v>
      </c>
      <c r="B145" s="1">
        <v>45701</v>
      </c>
      <c r="D145" t="s">
        <v>12</v>
      </c>
      <c r="E145">
        <v>160</v>
      </c>
      <c r="F145" t="s">
        <v>78</v>
      </c>
      <c r="G145" t="s">
        <v>24</v>
      </c>
      <c r="H145" t="s">
        <v>29</v>
      </c>
      <c r="I145" t="s">
        <v>19</v>
      </c>
      <c r="J145" t="s">
        <v>15</v>
      </c>
    </row>
    <row r="146" spans="1:10" x14ac:dyDescent="0.35">
      <c r="A146" t="s">
        <v>95</v>
      </c>
      <c r="B146" s="1">
        <v>45788</v>
      </c>
      <c r="C146" t="s">
        <v>23</v>
      </c>
      <c r="D146" t="s">
        <v>39</v>
      </c>
      <c r="E146">
        <v>2500</v>
      </c>
      <c r="F146" t="s">
        <v>78</v>
      </c>
      <c r="G146" t="s">
        <v>24</v>
      </c>
      <c r="H146" t="s">
        <v>70</v>
      </c>
      <c r="I146" t="s">
        <v>14</v>
      </c>
      <c r="J146" t="s">
        <v>42</v>
      </c>
    </row>
    <row r="147" spans="1:10" x14ac:dyDescent="0.35">
      <c r="A147" t="s">
        <v>221</v>
      </c>
      <c r="B147" s="1">
        <v>45816</v>
      </c>
      <c r="C147" t="s">
        <v>27</v>
      </c>
      <c r="D147" t="s">
        <v>64</v>
      </c>
      <c r="E147" t="s">
        <v>13</v>
      </c>
      <c r="F147" s="2">
        <v>4500</v>
      </c>
      <c r="G147">
        <v>8</v>
      </c>
      <c r="H147" t="s">
        <v>18</v>
      </c>
      <c r="I147" t="s">
        <v>44</v>
      </c>
      <c r="J147" t="s">
        <v>74</v>
      </c>
    </row>
    <row r="148" spans="1:10" x14ac:dyDescent="0.35">
      <c r="A148" t="s">
        <v>222</v>
      </c>
      <c r="B148" t="s">
        <v>223</v>
      </c>
      <c r="C148" t="s">
        <v>17</v>
      </c>
      <c r="D148" t="s">
        <v>39</v>
      </c>
      <c r="E148">
        <v>-12</v>
      </c>
      <c r="F148" t="s">
        <v>78</v>
      </c>
      <c r="G148">
        <v>3</v>
      </c>
      <c r="H148" t="s">
        <v>40</v>
      </c>
      <c r="I148" t="s">
        <v>46</v>
      </c>
      <c r="J148" t="s">
        <v>30</v>
      </c>
    </row>
    <row r="149" spans="1:10" x14ac:dyDescent="0.35">
      <c r="A149" t="s">
        <v>224</v>
      </c>
      <c r="B149" s="1">
        <v>45818</v>
      </c>
      <c r="C149" t="s">
        <v>11</v>
      </c>
      <c r="D149" t="s">
        <v>32</v>
      </c>
      <c r="E149">
        <v>-12</v>
      </c>
      <c r="F149" t="s">
        <v>78</v>
      </c>
      <c r="G149">
        <v>95</v>
      </c>
      <c r="I149" t="s">
        <v>46</v>
      </c>
      <c r="J149" t="s">
        <v>20</v>
      </c>
    </row>
    <row r="150" spans="1:10" x14ac:dyDescent="0.35">
      <c r="A150" t="s">
        <v>225</v>
      </c>
      <c r="B150" t="s">
        <v>226</v>
      </c>
      <c r="C150" t="s">
        <v>76</v>
      </c>
      <c r="D150" t="s">
        <v>64</v>
      </c>
      <c r="E150" t="s">
        <v>13</v>
      </c>
      <c r="F150">
        <v>39745</v>
      </c>
      <c r="G150" t="s">
        <v>24</v>
      </c>
      <c r="H150" t="s">
        <v>70</v>
      </c>
      <c r="I150" t="s">
        <v>50</v>
      </c>
      <c r="J150" t="s">
        <v>20</v>
      </c>
    </row>
    <row r="151" spans="1:10" x14ac:dyDescent="0.35">
      <c r="A151" t="s">
        <v>181</v>
      </c>
      <c r="B151" t="s">
        <v>153</v>
      </c>
      <c r="C151" t="s">
        <v>27</v>
      </c>
      <c r="D151" t="s">
        <v>39</v>
      </c>
      <c r="E151">
        <v>2500</v>
      </c>
      <c r="F151">
        <v>13165</v>
      </c>
      <c r="G151" t="s">
        <v>24</v>
      </c>
      <c r="H151" t="s">
        <v>67</v>
      </c>
      <c r="I151" t="s">
        <v>19</v>
      </c>
      <c r="J151" t="s">
        <v>30</v>
      </c>
    </row>
    <row r="152" spans="1:10" x14ac:dyDescent="0.35">
      <c r="A152" t="s">
        <v>227</v>
      </c>
      <c r="B152" t="s">
        <v>228</v>
      </c>
      <c r="C152" t="s">
        <v>76</v>
      </c>
      <c r="D152" t="s">
        <v>28</v>
      </c>
      <c r="E152">
        <v>-12</v>
      </c>
      <c r="F152">
        <v>-800</v>
      </c>
      <c r="G152" t="s">
        <v>24</v>
      </c>
      <c r="H152" t="s">
        <v>18</v>
      </c>
      <c r="I152" t="s">
        <v>46</v>
      </c>
      <c r="J152" t="s">
        <v>15</v>
      </c>
    </row>
    <row r="153" spans="1:10" x14ac:dyDescent="0.35">
      <c r="A153" t="s">
        <v>229</v>
      </c>
      <c r="B153" s="1">
        <v>45933</v>
      </c>
      <c r="C153" t="s">
        <v>23</v>
      </c>
      <c r="D153" t="s">
        <v>64</v>
      </c>
      <c r="E153">
        <v>125</v>
      </c>
      <c r="F153" s="2">
        <v>4500</v>
      </c>
      <c r="G153" t="s">
        <v>24</v>
      </c>
      <c r="H153" t="s">
        <v>18</v>
      </c>
      <c r="I153" t="s">
        <v>46</v>
      </c>
      <c r="J153" t="s">
        <v>25</v>
      </c>
    </row>
    <row r="154" spans="1:10" x14ac:dyDescent="0.35">
      <c r="A154">
        <v>1366</v>
      </c>
      <c r="B154" s="1">
        <v>45745</v>
      </c>
      <c r="C154" t="s">
        <v>27</v>
      </c>
      <c r="D154" t="s">
        <v>64</v>
      </c>
      <c r="E154">
        <v>-12</v>
      </c>
      <c r="F154" s="2">
        <v>4500</v>
      </c>
      <c r="G154" t="s">
        <v>24</v>
      </c>
      <c r="H154" t="s">
        <v>29</v>
      </c>
      <c r="I154" t="s">
        <v>44</v>
      </c>
      <c r="J154" t="s">
        <v>15</v>
      </c>
    </row>
    <row r="155" spans="1:10" x14ac:dyDescent="0.35">
      <c r="A155" t="s">
        <v>230</v>
      </c>
      <c r="B155" s="1">
        <v>45690</v>
      </c>
      <c r="C155" t="s">
        <v>36</v>
      </c>
      <c r="D155" t="s">
        <v>39</v>
      </c>
      <c r="E155" t="s">
        <v>13</v>
      </c>
      <c r="F155">
        <v>42700</v>
      </c>
      <c r="G155" t="s">
        <v>24</v>
      </c>
      <c r="H155" t="s">
        <v>40</v>
      </c>
      <c r="I155" t="s">
        <v>41</v>
      </c>
      <c r="J155" t="s">
        <v>30</v>
      </c>
    </row>
    <row r="156" spans="1:10" x14ac:dyDescent="0.35">
      <c r="A156" t="s">
        <v>231</v>
      </c>
      <c r="B156" s="1">
        <v>45683</v>
      </c>
      <c r="C156" t="s">
        <v>48</v>
      </c>
      <c r="D156" t="s">
        <v>64</v>
      </c>
      <c r="E156">
        <v>2500</v>
      </c>
      <c r="F156">
        <v>-800</v>
      </c>
      <c r="G156">
        <v>95</v>
      </c>
      <c r="H156" t="s">
        <v>49</v>
      </c>
      <c r="I156" t="s">
        <v>19</v>
      </c>
      <c r="J156" t="s">
        <v>20</v>
      </c>
    </row>
    <row r="157" spans="1:10" x14ac:dyDescent="0.35">
      <c r="A157" t="s">
        <v>232</v>
      </c>
      <c r="B157" s="1">
        <v>46020</v>
      </c>
      <c r="C157" t="s">
        <v>11</v>
      </c>
      <c r="D157" t="s">
        <v>28</v>
      </c>
      <c r="E157">
        <v>2500</v>
      </c>
      <c r="F157">
        <v>-800</v>
      </c>
      <c r="G157">
        <v>8</v>
      </c>
      <c r="H157" t="s">
        <v>49</v>
      </c>
      <c r="I157" t="s">
        <v>46</v>
      </c>
      <c r="J157" t="s">
        <v>33</v>
      </c>
    </row>
    <row r="158" spans="1:10" x14ac:dyDescent="0.35">
      <c r="A158" t="s">
        <v>16</v>
      </c>
      <c r="B158" t="s">
        <v>233</v>
      </c>
      <c r="C158" t="s">
        <v>11</v>
      </c>
      <c r="D158" t="s">
        <v>89</v>
      </c>
      <c r="E158">
        <v>2500</v>
      </c>
      <c r="F158">
        <v>-800</v>
      </c>
      <c r="G158">
        <v>6</v>
      </c>
      <c r="H158" t="s">
        <v>29</v>
      </c>
      <c r="I158" t="s">
        <v>41</v>
      </c>
      <c r="J158" t="s">
        <v>25</v>
      </c>
    </row>
    <row r="159" spans="1:10" x14ac:dyDescent="0.35">
      <c r="A159" t="s">
        <v>234</v>
      </c>
      <c r="B159" s="1">
        <v>45826</v>
      </c>
      <c r="D159" t="s">
        <v>12</v>
      </c>
      <c r="E159">
        <v>2500</v>
      </c>
      <c r="F159" s="2">
        <v>4500</v>
      </c>
      <c r="G159">
        <v>95</v>
      </c>
      <c r="H159" t="s">
        <v>40</v>
      </c>
      <c r="I159" t="s">
        <v>14</v>
      </c>
      <c r="J159" t="s">
        <v>20</v>
      </c>
    </row>
    <row r="160" spans="1:10" x14ac:dyDescent="0.35">
      <c r="A160" t="s">
        <v>65</v>
      </c>
      <c r="B160" s="1">
        <v>45667</v>
      </c>
      <c r="C160" t="s">
        <v>76</v>
      </c>
      <c r="D160" t="s">
        <v>12</v>
      </c>
      <c r="E160">
        <v>2500</v>
      </c>
      <c r="F160">
        <v>-800</v>
      </c>
      <c r="G160" t="s">
        <v>24</v>
      </c>
      <c r="H160" t="s">
        <v>40</v>
      </c>
      <c r="I160" t="s">
        <v>41</v>
      </c>
      <c r="J160" t="s">
        <v>33</v>
      </c>
    </row>
    <row r="161" spans="1:10" x14ac:dyDescent="0.35">
      <c r="A161" t="s">
        <v>235</v>
      </c>
      <c r="B161" s="1">
        <v>46017</v>
      </c>
      <c r="C161" t="s">
        <v>11</v>
      </c>
      <c r="D161" t="s">
        <v>89</v>
      </c>
      <c r="E161">
        <v>2500</v>
      </c>
      <c r="F161">
        <v>850000</v>
      </c>
      <c r="G161">
        <v>4</v>
      </c>
      <c r="H161" t="s">
        <v>70</v>
      </c>
      <c r="I161" t="s">
        <v>19</v>
      </c>
      <c r="J161" t="s">
        <v>42</v>
      </c>
    </row>
    <row r="162" spans="1:10" x14ac:dyDescent="0.35">
      <c r="A162" t="s">
        <v>236</v>
      </c>
      <c r="B162" s="1">
        <v>45817</v>
      </c>
      <c r="C162" t="s">
        <v>23</v>
      </c>
      <c r="D162" t="s">
        <v>32</v>
      </c>
      <c r="E162">
        <v>2500</v>
      </c>
      <c r="F162" t="s">
        <v>78</v>
      </c>
      <c r="G162">
        <v>95</v>
      </c>
      <c r="H162" t="s">
        <v>40</v>
      </c>
      <c r="I162" t="s">
        <v>19</v>
      </c>
      <c r="J162" t="s">
        <v>25</v>
      </c>
    </row>
    <row r="163" spans="1:10" x14ac:dyDescent="0.35">
      <c r="A163" t="s">
        <v>237</v>
      </c>
      <c r="B163" s="1">
        <v>45669</v>
      </c>
      <c r="C163" t="s">
        <v>57</v>
      </c>
      <c r="D163" t="s">
        <v>64</v>
      </c>
      <c r="E163">
        <v>136</v>
      </c>
      <c r="F163">
        <v>850000</v>
      </c>
      <c r="G163">
        <v>9</v>
      </c>
      <c r="H163" t="s">
        <v>49</v>
      </c>
      <c r="I163" t="s">
        <v>41</v>
      </c>
      <c r="J163" t="s">
        <v>30</v>
      </c>
    </row>
    <row r="164" spans="1:10" x14ac:dyDescent="0.35">
      <c r="A164" t="s">
        <v>207</v>
      </c>
      <c r="B164" t="s">
        <v>238</v>
      </c>
      <c r="C164" t="s">
        <v>23</v>
      </c>
      <c r="D164" t="s">
        <v>64</v>
      </c>
      <c r="E164">
        <v>2500</v>
      </c>
      <c r="F164">
        <v>48218</v>
      </c>
      <c r="G164" t="s">
        <v>24</v>
      </c>
      <c r="H164" t="s">
        <v>49</v>
      </c>
      <c r="I164" t="s">
        <v>41</v>
      </c>
      <c r="J164" t="s">
        <v>20</v>
      </c>
    </row>
    <row r="165" spans="1:10" x14ac:dyDescent="0.35">
      <c r="A165" t="s">
        <v>125</v>
      </c>
      <c r="B165" s="1">
        <v>45811</v>
      </c>
      <c r="C165" t="s">
        <v>11</v>
      </c>
      <c r="D165" t="s">
        <v>89</v>
      </c>
      <c r="E165">
        <v>-12</v>
      </c>
      <c r="F165" s="2">
        <v>4500</v>
      </c>
      <c r="G165">
        <v>5</v>
      </c>
      <c r="H165" t="s">
        <v>53</v>
      </c>
      <c r="I165" t="s">
        <v>44</v>
      </c>
      <c r="J165" t="s">
        <v>25</v>
      </c>
    </row>
    <row r="166" spans="1:10" x14ac:dyDescent="0.35">
      <c r="A166" t="s">
        <v>239</v>
      </c>
      <c r="B166" t="s">
        <v>240</v>
      </c>
      <c r="C166" t="s">
        <v>27</v>
      </c>
      <c r="D166" t="s">
        <v>32</v>
      </c>
      <c r="E166">
        <v>-12</v>
      </c>
      <c r="F166" s="2">
        <v>4500</v>
      </c>
      <c r="G166">
        <v>4</v>
      </c>
      <c r="H166" t="s">
        <v>70</v>
      </c>
      <c r="I166" t="s">
        <v>44</v>
      </c>
      <c r="J166" t="s">
        <v>15</v>
      </c>
    </row>
    <row r="167" spans="1:10" x14ac:dyDescent="0.35">
      <c r="A167" t="s">
        <v>241</v>
      </c>
      <c r="B167" s="1">
        <v>45747</v>
      </c>
      <c r="C167" t="s">
        <v>23</v>
      </c>
      <c r="D167" t="s">
        <v>28</v>
      </c>
      <c r="E167" t="s">
        <v>13</v>
      </c>
      <c r="F167" t="s">
        <v>78</v>
      </c>
      <c r="G167" t="s">
        <v>24</v>
      </c>
      <c r="H167" t="s">
        <v>18</v>
      </c>
      <c r="I167" t="s">
        <v>44</v>
      </c>
      <c r="J167" t="s">
        <v>25</v>
      </c>
    </row>
    <row r="168" spans="1:10" x14ac:dyDescent="0.35">
      <c r="A168" t="s">
        <v>242</v>
      </c>
      <c r="B168" s="1">
        <v>46006</v>
      </c>
      <c r="C168" t="s">
        <v>27</v>
      </c>
      <c r="D168" t="s">
        <v>89</v>
      </c>
      <c r="E168" t="s">
        <v>13</v>
      </c>
      <c r="F168">
        <v>-800</v>
      </c>
      <c r="G168">
        <v>5</v>
      </c>
      <c r="H168" t="s">
        <v>67</v>
      </c>
      <c r="I168" t="s">
        <v>46</v>
      </c>
      <c r="J168" t="s">
        <v>20</v>
      </c>
    </row>
    <row r="169" spans="1:10" x14ac:dyDescent="0.35">
      <c r="A169" t="s">
        <v>241</v>
      </c>
      <c r="B169" t="s">
        <v>243</v>
      </c>
      <c r="C169" t="s">
        <v>76</v>
      </c>
      <c r="D169" t="s">
        <v>89</v>
      </c>
      <c r="E169">
        <v>96</v>
      </c>
      <c r="F169" s="2">
        <v>4500</v>
      </c>
      <c r="G169">
        <v>2</v>
      </c>
      <c r="H169" t="s">
        <v>40</v>
      </c>
      <c r="I169" t="s">
        <v>50</v>
      </c>
      <c r="J169" t="s">
        <v>42</v>
      </c>
    </row>
    <row r="170" spans="1:10" x14ac:dyDescent="0.35">
      <c r="A170" t="s">
        <v>244</v>
      </c>
      <c r="B170" t="s">
        <v>245</v>
      </c>
      <c r="C170" t="s">
        <v>57</v>
      </c>
      <c r="D170" t="s">
        <v>89</v>
      </c>
      <c r="E170">
        <v>-12</v>
      </c>
      <c r="F170">
        <v>7649</v>
      </c>
      <c r="G170" t="s">
        <v>24</v>
      </c>
      <c r="H170" t="s">
        <v>18</v>
      </c>
      <c r="I170" t="s">
        <v>44</v>
      </c>
      <c r="J170" t="s">
        <v>20</v>
      </c>
    </row>
    <row r="171" spans="1:10" x14ac:dyDescent="0.35">
      <c r="A171" t="s">
        <v>158</v>
      </c>
      <c r="B171" s="1">
        <v>45883</v>
      </c>
      <c r="C171" t="s">
        <v>36</v>
      </c>
      <c r="D171" t="s">
        <v>39</v>
      </c>
      <c r="E171" t="s">
        <v>13</v>
      </c>
      <c r="F171" t="s">
        <v>78</v>
      </c>
      <c r="G171" t="s">
        <v>24</v>
      </c>
      <c r="H171" t="s">
        <v>49</v>
      </c>
      <c r="I171" t="s">
        <v>41</v>
      </c>
      <c r="J171" t="s">
        <v>30</v>
      </c>
    </row>
    <row r="172" spans="1:10" x14ac:dyDescent="0.35">
      <c r="A172" t="s">
        <v>246</v>
      </c>
      <c r="B172" t="s">
        <v>247</v>
      </c>
      <c r="C172" t="s">
        <v>27</v>
      </c>
      <c r="D172" t="s">
        <v>12</v>
      </c>
      <c r="E172">
        <v>197</v>
      </c>
      <c r="F172">
        <v>-800</v>
      </c>
      <c r="G172">
        <v>95</v>
      </c>
      <c r="H172" t="s">
        <v>67</v>
      </c>
      <c r="I172" t="s">
        <v>50</v>
      </c>
      <c r="J172" t="s">
        <v>30</v>
      </c>
    </row>
    <row r="173" spans="1:10" x14ac:dyDescent="0.35">
      <c r="A173" t="s">
        <v>248</v>
      </c>
      <c r="B173" s="1">
        <v>45921</v>
      </c>
      <c r="C173" t="s">
        <v>11</v>
      </c>
      <c r="D173" t="s">
        <v>39</v>
      </c>
      <c r="E173">
        <v>-12</v>
      </c>
      <c r="F173" t="s">
        <v>78</v>
      </c>
      <c r="G173" t="s">
        <v>24</v>
      </c>
      <c r="H173" t="s">
        <v>18</v>
      </c>
      <c r="I173" t="s">
        <v>46</v>
      </c>
      <c r="J173" t="s">
        <v>33</v>
      </c>
    </row>
    <row r="174" spans="1:10" x14ac:dyDescent="0.35">
      <c r="A174" t="s">
        <v>249</v>
      </c>
      <c r="B174" t="s">
        <v>250</v>
      </c>
      <c r="C174" t="s">
        <v>36</v>
      </c>
      <c r="D174" t="s">
        <v>73</v>
      </c>
      <c r="E174" t="s">
        <v>13</v>
      </c>
      <c r="F174">
        <v>-800</v>
      </c>
      <c r="G174">
        <v>4</v>
      </c>
      <c r="H174" t="s">
        <v>29</v>
      </c>
      <c r="I174" t="s">
        <v>46</v>
      </c>
      <c r="J174" t="s">
        <v>30</v>
      </c>
    </row>
    <row r="175" spans="1:10" x14ac:dyDescent="0.35">
      <c r="A175" t="s">
        <v>251</v>
      </c>
      <c r="B175" s="1">
        <v>45928</v>
      </c>
      <c r="C175" t="s">
        <v>27</v>
      </c>
      <c r="D175" t="s">
        <v>32</v>
      </c>
      <c r="E175">
        <v>2500</v>
      </c>
      <c r="F175">
        <v>-800</v>
      </c>
      <c r="G175" t="s">
        <v>24</v>
      </c>
      <c r="H175" t="s">
        <v>70</v>
      </c>
      <c r="I175" t="s">
        <v>41</v>
      </c>
      <c r="J175" t="s">
        <v>33</v>
      </c>
    </row>
    <row r="176" spans="1:10" x14ac:dyDescent="0.35">
      <c r="A176" t="s">
        <v>252</v>
      </c>
      <c r="B176" s="1">
        <v>45959</v>
      </c>
      <c r="C176" t="s">
        <v>23</v>
      </c>
      <c r="D176" t="s">
        <v>37</v>
      </c>
      <c r="E176">
        <v>-12</v>
      </c>
      <c r="F176" s="2">
        <v>4500</v>
      </c>
      <c r="G176">
        <v>4</v>
      </c>
      <c r="H176" t="s">
        <v>49</v>
      </c>
      <c r="I176" t="s">
        <v>14</v>
      </c>
      <c r="J176" t="s">
        <v>33</v>
      </c>
    </row>
    <row r="177" spans="1:10" x14ac:dyDescent="0.35">
      <c r="A177" t="s">
        <v>253</v>
      </c>
      <c r="B177" s="1">
        <v>46021</v>
      </c>
      <c r="C177" t="s">
        <v>11</v>
      </c>
      <c r="D177" t="s">
        <v>12</v>
      </c>
      <c r="E177">
        <v>176</v>
      </c>
      <c r="F177">
        <v>-800</v>
      </c>
      <c r="G177">
        <v>1</v>
      </c>
      <c r="H177" t="s">
        <v>18</v>
      </c>
      <c r="I177" t="s">
        <v>19</v>
      </c>
      <c r="J177" t="s">
        <v>42</v>
      </c>
    </row>
    <row r="178" spans="1:10" x14ac:dyDescent="0.35">
      <c r="A178" t="s">
        <v>254</v>
      </c>
      <c r="B178" s="1">
        <v>46000</v>
      </c>
      <c r="C178" t="s">
        <v>27</v>
      </c>
      <c r="D178" t="s">
        <v>64</v>
      </c>
      <c r="E178">
        <v>2500</v>
      </c>
      <c r="F178">
        <v>-800</v>
      </c>
      <c r="G178">
        <v>95</v>
      </c>
      <c r="H178" t="s">
        <v>29</v>
      </c>
      <c r="I178" t="s">
        <v>46</v>
      </c>
      <c r="J178" t="s">
        <v>74</v>
      </c>
    </row>
    <row r="179" spans="1:10" x14ac:dyDescent="0.35">
      <c r="A179" t="s">
        <v>255</v>
      </c>
      <c r="B179" t="s">
        <v>63</v>
      </c>
      <c r="C179" t="s">
        <v>57</v>
      </c>
      <c r="D179" t="s">
        <v>28</v>
      </c>
      <c r="E179">
        <v>117</v>
      </c>
      <c r="F179">
        <v>-800</v>
      </c>
      <c r="G179" t="s">
        <v>24</v>
      </c>
      <c r="H179" t="s">
        <v>40</v>
      </c>
      <c r="I179" t="s">
        <v>19</v>
      </c>
      <c r="J179" t="s">
        <v>33</v>
      </c>
    </row>
    <row r="180" spans="1:10" x14ac:dyDescent="0.35">
      <c r="A180" t="s">
        <v>219</v>
      </c>
      <c r="B180" t="s">
        <v>256</v>
      </c>
      <c r="C180" t="s">
        <v>48</v>
      </c>
      <c r="D180" t="s">
        <v>64</v>
      </c>
      <c r="E180">
        <v>2500</v>
      </c>
      <c r="F180">
        <v>850000</v>
      </c>
      <c r="G180">
        <v>10</v>
      </c>
      <c r="H180" t="s">
        <v>29</v>
      </c>
      <c r="I180" t="s">
        <v>19</v>
      </c>
      <c r="J180" t="s">
        <v>30</v>
      </c>
    </row>
    <row r="181" spans="1:10" x14ac:dyDescent="0.35">
      <c r="A181" t="s">
        <v>257</v>
      </c>
      <c r="B181" s="1">
        <v>45717</v>
      </c>
      <c r="C181" t="s">
        <v>57</v>
      </c>
      <c r="D181" t="s">
        <v>89</v>
      </c>
      <c r="E181">
        <v>33</v>
      </c>
      <c r="F181">
        <v>-800</v>
      </c>
      <c r="G181" t="s">
        <v>24</v>
      </c>
      <c r="H181" t="s">
        <v>67</v>
      </c>
      <c r="I181" t="s">
        <v>14</v>
      </c>
      <c r="J181" t="s">
        <v>33</v>
      </c>
    </row>
    <row r="182" spans="1:10" x14ac:dyDescent="0.35">
      <c r="A182" t="s">
        <v>258</v>
      </c>
      <c r="B182" t="s">
        <v>259</v>
      </c>
      <c r="C182" t="s">
        <v>17</v>
      </c>
      <c r="D182" t="s">
        <v>12</v>
      </c>
      <c r="E182">
        <v>56</v>
      </c>
      <c r="F182" s="2">
        <v>4500</v>
      </c>
      <c r="G182">
        <v>9</v>
      </c>
      <c r="H182" t="s">
        <v>40</v>
      </c>
      <c r="I182" t="s">
        <v>14</v>
      </c>
      <c r="J182" t="s">
        <v>42</v>
      </c>
    </row>
    <row r="183" spans="1:10" x14ac:dyDescent="0.35">
      <c r="A183" t="s">
        <v>260</v>
      </c>
      <c r="B183" s="1">
        <v>45668</v>
      </c>
      <c r="C183" t="s">
        <v>27</v>
      </c>
      <c r="D183" t="s">
        <v>39</v>
      </c>
      <c r="E183">
        <v>2500</v>
      </c>
      <c r="F183">
        <v>850000</v>
      </c>
      <c r="G183">
        <v>95</v>
      </c>
      <c r="H183" t="s">
        <v>29</v>
      </c>
      <c r="I183" t="s">
        <v>41</v>
      </c>
      <c r="J183" t="s">
        <v>25</v>
      </c>
    </row>
    <row r="184" spans="1:10" x14ac:dyDescent="0.35">
      <c r="A184" t="s">
        <v>261</v>
      </c>
      <c r="B184" t="s">
        <v>86</v>
      </c>
      <c r="D184" t="s">
        <v>73</v>
      </c>
      <c r="E184">
        <v>-12</v>
      </c>
      <c r="F184" s="2">
        <v>4500</v>
      </c>
      <c r="G184">
        <v>95</v>
      </c>
      <c r="H184" t="s">
        <v>67</v>
      </c>
      <c r="I184" t="s">
        <v>50</v>
      </c>
      <c r="J184" t="s">
        <v>30</v>
      </c>
    </row>
    <row r="185" spans="1:10" x14ac:dyDescent="0.35">
      <c r="A185" t="s">
        <v>79</v>
      </c>
      <c r="B185" s="1">
        <v>46012</v>
      </c>
      <c r="C185" t="s">
        <v>36</v>
      </c>
      <c r="D185" t="s">
        <v>32</v>
      </c>
      <c r="E185" t="s">
        <v>13</v>
      </c>
      <c r="F185">
        <v>850000</v>
      </c>
      <c r="G185" t="s">
        <v>24</v>
      </c>
      <c r="I185" t="s">
        <v>19</v>
      </c>
      <c r="J185" t="s">
        <v>20</v>
      </c>
    </row>
    <row r="186" spans="1:10" x14ac:dyDescent="0.35">
      <c r="A186" t="s">
        <v>119</v>
      </c>
      <c r="B186" t="s">
        <v>262</v>
      </c>
      <c r="C186" t="s">
        <v>57</v>
      </c>
      <c r="D186" t="s">
        <v>73</v>
      </c>
      <c r="E186">
        <v>-12</v>
      </c>
      <c r="F186">
        <v>9708</v>
      </c>
      <c r="G186">
        <v>95</v>
      </c>
      <c r="H186" t="s">
        <v>29</v>
      </c>
      <c r="I186" t="s">
        <v>44</v>
      </c>
      <c r="J186" t="s">
        <v>30</v>
      </c>
    </row>
    <row r="187" spans="1:10" x14ac:dyDescent="0.35">
      <c r="A187" t="s">
        <v>160</v>
      </c>
      <c r="B187" s="1">
        <v>45725</v>
      </c>
      <c r="C187" t="s">
        <v>36</v>
      </c>
      <c r="D187" t="s">
        <v>73</v>
      </c>
      <c r="E187">
        <v>-12</v>
      </c>
      <c r="F187">
        <v>-800</v>
      </c>
      <c r="G187" t="s">
        <v>24</v>
      </c>
      <c r="H187" t="s">
        <v>40</v>
      </c>
      <c r="I187" t="s">
        <v>46</v>
      </c>
      <c r="J187" t="s">
        <v>33</v>
      </c>
    </row>
    <row r="188" spans="1:10" x14ac:dyDescent="0.35">
      <c r="A188" t="s">
        <v>263</v>
      </c>
      <c r="B188" s="1">
        <v>45815</v>
      </c>
      <c r="D188" t="s">
        <v>89</v>
      </c>
      <c r="E188" t="s">
        <v>13</v>
      </c>
      <c r="F188" s="2">
        <v>4500</v>
      </c>
      <c r="G188">
        <v>95</v>
      </c>
      <c r="H188" t="s">
        <v>70</v>
      </c>
      <c r="I188" t="s">
        <v>14</v>
      </c>
      <c r="J188" t="s">
        <v>74</v>
      </c>
    </row>
    <row r="189" spans="1:10" x14ac:dyDescent="0.35">
      <c r="A189">
        <v>1313</v>
      </c>
      <c r="B189" t="s">
        <v>264</v>
      </c>
      <c r="C189" t="s">
        <v>27</v>
      </c>
      <c r="D189" t="s">
        <v>32</v>
      </c>
      <c r="E189">
        <v>2500</v>
      </c>
      <c r="F189" t="s">
        <v>78</v>
      </c>
      <c r="G189">
        <v>10</v>
      </c>
      <c r="H189" t="s">
        <v>53</v>
      </c>
      <c r="I189" t="s">
        <v>41</v>
      </c>
      <c r="J189" t="s">
        <v>30</v>
      </c>
    </row>
    <row r="190" spans="1:10" x14ac:dyDescent="0.35">
      <c r="A190" t="s">
        <v>265</v>
      </c>
      <c r="B190" t="s">
        <v>266</v>
      </c>
      <c r="C190" t="s">
        <v>57</v>
      </c>
      <c r="D190" t="s">
        <v>39</v>
      </c>
      <c r="E190">
        <v>2500</v>
      </c>
      <c r="F190">
        <v>850000</v>
      </c>
      <c r="G190" t="s">
        <v>24</v>
      </c>
      <c r="H190" t="s">
        <v>29</v>
      </c>
      <c r="I190" t="s">
        <v>19</v>
      </c>
      <c r="J190" t="s">
        <v>25</v>
      </c>
    </row>
    <row r="191" spans="1:10" x14ac:dyDescent="0.35">
      <c r="A191" t="s">
        <v>124</v>
      </c>
      <c r="B191" s="1">
        <v>46005</v>
      </c>
      <c r="C191" t="s">
        <v>36</v>
      </c>
      <c r="D191" t="s">
        <v>64</v>
      </c>
      <c r="E191">
        <v>-12</v>
      </c>
      <c r="F191">
        <v>14541</v>
      </c>
      <c r="G191" t="s">
        <v>24</v>
      </c>
      <c r="I191" t="s">
        <v>41</v>
      </c>
      <c r="J191" t="s">
        <v>20</v>
      </c>
    </row>
    <row r="192" spans="1:10" x14ac:dyDescent="0.35">
      <c r="A192" t="s">
        <v>159</v>
      </c>
      <c r="B192" t="s">
        <v>186</v>
      </c>
      <c r="C192" t="s">
        <v>11</v>
      </c>
      <c r="D192" t="s">
        <v>32</v>
      </c>
      <c r="E192" t="s">
        <v>13</v>
      </c>
      <c r="F192">
        <v>850000</v>
      </c>
      <c r="G192">
        <v>95</v>
      </c>
      <c r="H192" t="s">
        <v>53</v>
      </c>
      <c r="I192" t="s">
        <v>44</v>
      </c>
      <c r="J192" t="s">
        <v>20</v>
      </c>
    </row>
    <row r="193" spans="1:10" x14ac:dyDescent="0.35">
      <c r="A193" t="s">
        <v>267</v>
      </c>
      <c r="B193" s="1">
        <v>45879</v>
      </c>
      <c r="C193" t="s">
        <v>11</v>
      </c>
      <c r="D193" t="s">
        <v>28</v>
      </c>
      <c r="E193">
        <v>-12</v>
      </c>
      <c r="F193">
        <v>23371</v>
      </c>
      <c r="G193">
        <v>95</v>
      </c>
      <c r="H193" t="s">
        <v>49</v>
      </c>
      <c r="I193" t="s">
        <v>44</v>
      </c>
      <c r="J193" t="s">
        <v>15</v>
      </c>
    </row>
    <row r="194" spans="1:10" x14ac:dyDescent="0.35">
      <c r="A194" t="s">
        <v>268</v>
      </c>
      <c r="B194" s="1">
        <v>45737</v>
      </c>
      <c r="D194" t="s">
        <v>28</v>
      </c>
      <c r="E194">
        <v>2500</v>
      </c>
      <c r="F194" t="s">
        <v>78</v>
      </c>
      <c r="G194" t="s">
        <v>24</v>
      </c>
      <c r="H194" t="s">
        <v>53</v>
      </c>
      <c r="I194" t="s">
        <v>50</v>
      </c>
      <c r="J194" t="s">
        <v>25</v>
      </c>
    </row>
    <row r="195" spans="1:10" x14ac:dyDescent="0.35">
      <c r="A195" t="s">
        <v>45</v>
      </c>
      <c r="B195" s="1">
        <v>45856</v>
      </c>
      <c r="C195" t="s">
        <v>76</v>
      </c>
      <c r="D195" t="s">
        <v>39</v>
      </c>
      <c r="E195" t="s">
        <v>13</v>
      </c>
      <c r="F195">
        <v>6970</v>
      </c>
      <c r="G195" t="s">
        <v>24</v>
      </c>
      <c r="H195" t="s">
        <v>29</v>
      </c>
      <c r="I195" t="s">
        <v>41</v>
      </c>
      <c r="J195" t="s">
        <v>74</v>
      </c>
    </row>
    <row r="196" spans="1:10" x14ac:dyDescent="0.35">
      <c r="A196" t="s">
        <v>269</v>
      </c>
      <c r="B196" s="1">
        <v>45669</v>
      </c>
      <c r="C196" t="s">
        <v>23</v>
      </c>
      <c r="D196" t="s">
        <v>12</v>
      </c>
      <c r="E196">
        <v>-12</v>
      </c>
      <c r="F196" s="2">
        <v>4500</v>
      </c>
      <c r="G196" t="s">
        <v>24</v>
      </c>
      <c r="H196" t="s">
        <v>67</v>
      </c>
      <c r="I196" t="s">
        <v>14</v>
      </c>
      <c r="J196" t="s">
        <v>30</v>
      </c>
    </row>
    <row r="197" spans="1:10" x14ac:dyDescent="0.35">
      <c r="A197" t="s">
        <v>270</v>
      </c>
      <c r="B197" s="1">
        <v>45988</v>
      </c>
      <c r="C197" t="s">
        <v>27</v>
      </c>
      <c r="D197" t="s">
        <v>39</v>
      </c>
      <c r="E197">
        <v>-12</v>
      </c>
      <c r="F197">
        <v>-800</v>
      </c>
      <c r="G197" t="s">
        <v>24</v>
      </c>
      <c r="H197" t="s">
        <v>53</v>
      </c>
      <c r="I197" t="s">
        <v>41</v>
      </c>
      <c r="J197" t="s">
        <v>33</v>
      </c>
    </row>
    <row r="198" spans="1:10" x14ac:dyDescent="0.35">
      <c r="A198" t="s">
        <v>271</v>
      </c>
      <c r="B198" t="s">
        <v>272</v>
      </c>
      <c r="C198" t="s">
        <v>23</v>
      </c>
      <c r="D198" t="s">
        <v>89</v>
      </c>
      <c r="E198">
        <v>-12</v>
      </c>
      <c r="F198">
        <v>14624</v>
      </c>
      <c r="G198">
        <v>95</v>
      </c>
      <c r="I198" t="s">
        <v>50</v>
      </c>
      <c r="J198" t="s">
        <v>25</v>
      </c>
    </row>
    <row r="199" spans="1:10" x14ac:dyDescent="0.35">
      <c r="A199" t="s">
        <v>159</v>
      </c>
      <c r="B199" s="1">
        <v>45683</v>
      </c>
      <c r="C199" t="s">
        <v>36</v>
      </c>
      <c r="D199" t="s">
        <v>89</v>
      </c>
      <c r="E199">
        <v>40</v>
      </c>
      <c r="F199">
        <v>850000</v>
      </c>
      <c r="G199">
        <v>95</v>
      </c>
      <c r="H199" t="s">
        <v>29</v>
      </c>
      <c r="I199" t="s">
        <v>41</v>
      </c>
      <c r="J199" t="s">
        <v>20</v>
      </c>
    </row>
    <row r="200" spans="1:10" x14ac:dyDescent="0.35">
      <c r="A200" t="s">
        <v>273</v>
      </c>
      <c r="B200" s="1">
        <v>45929</v>
      </c>
      <c r="C200" t="s">
        <v>11</v>
      </c>
      <c r="D200" t="s">
        <v>89</v>
      </c>
      <c r="E200">
        <v>-12</v>
      </c>
      <c r="F200" t="s">
        <v>78</v>
      </c>
      <c r="G200">
        <v>10</v>
      </c>
      <c r="I200" t="s">
        <v>41</v>
      </c>
      <c r="J200" t="s">
        <v>30</v>
      </c>
    </row>
    <row r="201" spans="1:10" x14ac:dyDescent="0.35">
      <c r="A201" t="s">
        <v>83</v>
      </c>
      <c r="B201" s="1">
        <v>45843</v>
      </c>
      <c r="C201" t="s">
        <v>27</v>
      </c>
      <c r="D201" t="s">
        <v>37</v>
      </c>
      <c r="E201" t="s">
        <v>13</v>
      </c>
      <c r="F201">
        <v>850000</v>
      </c>
      <c r="G201">
        <v>95</v>
      </c>
      <c r="H201" t="s">
        <v>67</v>
      </c>
      <c r="I201" t="s">
        <v>44</v>
      </c>
      <c r="J201" t="s">
        <v>74</v>
      </c>
    </row>
    <row r="202" spans="1:10" x14ac:dyDescent="0.35">
      <c r="A202" t="s">
        <v>274</v>
      </c>
      <c r="B202" t="s">
        <v>275</v>
      </c>
      <c r="D202" t="s">
        <v>39</v>
      </c>
      <c r="E202" t="s">
        <v>13</v>
      </c>
      <c r="F202">
        <v>-800</v>
      </c>
      <c r="G202" t="s">
        <v>24</v>
      </c>
      <c r="H202" t="s">
        <v>70</v>
      </c>
      <c r="I202" t="s">
        <v>41</v>
      </c>
      <c r="J202" t="s">
        <v>30</v>
      </c>
    </row>
    <row r="203" spans="1:10" x14ac:dyDescent="0.35">
      <c r="A203" t="s">
        <v>276</v>
      </c>
      <c r="B203" t="s">
        <v>277</v>
      </c>
      <c r="C203" t="s">
        <v>23</v>
      </c>
      <c r="D203" t="s">
        <v>28</v>
      </c>
      <c r="E203" t="s">
        <v>13</v>
      </c>
      <c r="F203" t="s">
        <v>78</v>
      </c>
      <c r="G203">
        <v>8</v>
      </c>
      <c r="H203" t="s">
        <v>18</v>
      </c>
      <c r="I203" t="s">
        <v>46</v>
      </c>
      <c r="J203" t="s">
        <v>20</v>
      </c>
    </row>
    <row r="204" spans="1:10" x14ac:dyDescent="0.35">
      <c r="A204" t="s">
        <v>162</v>
      </c>
      <c r="B204" s="1">
        <v>45767</v>
      </c>
      <c r="C204" t="s">
        <v>11</v>
      </c>
      <c r="D204" t="s">
        <v>73</v>
      </c>
      <c r="E204">
        <v>2500</v>
      </c>
      <c r="F204" s="2">
        <v>4500</v>
      </c>
      <c r="G204" t="s">
        <v>24</v>
      </c>
      <c r="H204" t="s">
        <v>67</v>
      </c>
      <c r="I204" t="s">
        <v>46</v>
      </c>
      <c r="J204" t="s">
        <v>30</v>
      </c>
    </row>
    <row r="205" spans="1:10" x14ac:dyDescent="0.35">
      <c r="A205" t="s">
        <v>278</v>
      </c>
      <c r="B205" s="1">
        <v>46016</v>
      </c>
      <c r="C205" t="s">
        <v>17</v>
      </c>
      <c r="D205" t="s">
        <v>64</v>
      </c>
      <c r="E205">
        <v>-12</v>
      </c>
      <c r="F205" t="s">
        <v>78</v>
      </c>
      <c r="G205">
        <v>2</v>
      </c>
      <c r="H205" t="s">
        <v>18</v>
      </c>
      <c r="I205" t="s">
        <v>44</v>
      </c>
      <c r="J205" t="s">
        <v>33</v>
      </c>
    </row>
    <row r="206" spans="1:10" x14ac:dyDescent="0.35">
      <c r="A206" t="s">
        <v>279</v>
      </c>
      <c r="B206" s="1">
        <v>45920</v>
      </c>
      <c r="C206" t="s">
        <v>23</v>
      </c>
      <c r="D206" t="s">
        <v>12</v>
      </c>
      <c r="E206">
        <v>-12</v>
      </c>
      <c r="F206">
        <v>850000</v>
      </c>
      <c r="G206">
        <v>95</v>
      </c>
      <c r="H206" t="s">
        <v>40</v>
      </c>
      <c r="I206" t="s">
        <v>14</v>
      </c>
      <c r="J206" t="s">
        <v>33</v>
      </c>
    </row>
    <row r="207" spans="1:10" x14ac:dyDescent="0.35">
      <c r="A207" t="s">
        <v>94</v>
      </c>
      <c r="B207" t="s">
        <v>280</v>
      </c>
      <c r="C207" t="s">
        <v>57</v>
      </c>
      <c r="D207" t="s">
        <v>39</v>
      </c>
      <c r="E207" t="s">
        <v>13</v>
      </c>
      <c r="F207">
        <v>17559</v>
      </c>
      <c r="G207">
        <v>4</v>
      </c>
      <c r="H207" t="s">
        <v>53</v>
      </c>
      <c r="I207" t="s">
        <v>14</v>
      </c>
      <c r="J207" t="s">
        <v>33</v>
      </c>
    </row>
    <row r="208" spans="1:10" x14ac:dyDescent="0.35">
      <c r="A208" t="s">
        <v>281</v>
      </c>
      <c r="B208" s="1">
        <v>46000</v>
      </c>
      <c r="C208" t="s">
        <v>23</v>
      </c>
      <c r="D208" t="s">
        <v>73</v>
      </c>
      <c r="E208">
        <v>-12</v>
      </c>
      <c r="F208" t="s">
        <v>78</v>
      </c>
      <c r="G208">
        <v>95</v>
      </c>
      <c r="H208" t="s">
        <v>18</v>
      </c>
      <c r="I208" t="s">
        <v>41</v>
      </c>
      <c r="J208" t="s">
        <v>42</v>
      </c>
    </row>
    <row r="209" spans="1:10" x14ac:dyDescent="0.35">
      <c r="A209" t="s">
        <v>282</v>
      </c>
      <c r="B209" t="s">
        <v>283</v>
      </c>
      <c r="D209" t="s">
        <v>64</v>
      </c>
      <c r="E209">
        <v>145</v>
      </c>
      <c r="F209">
        <v>-800</v>
      </c>
      <c r="G209">
        <v>7</v>
      </c>
      <c r="H209" t="s">
        <v>67</v>
      </c>
      <c r="I209" t="s">
        <v>19</v>
      </c>
      <c r="J209" t="s">
        <v>42</v>
      </c>
    </row>
    <row r="210" spans="1:10" x14ac:dyDescent="0.35">
      <c r="A210" t="s">
        <v>136</v>
      </c>
      <c r="B210" s="1">
        <v>45667</v>
      </c>
      <c r="C210" t="s">
        <v>11</v>
      </c>
      <c r="D210" t="s">
        <v>39</v>
      </c>
      <c r="E210">
        <v>-12</v>
      </c>
      <c r="F210">
        <v>-800</v>
      </c>
      <c r="G210">
        <v>4</v>
      </c>
      <c r="H210" t="s">
        <v>70</v>
      </c>
      <c r="I210" t="s">
        <v>41</v>
      </c>
      <c r="J210" t="s">
        <v>74</v>
      </c>
    </row>
    <row r="211" spans="1:10" x14ac:dyDescent="0.35">
      <c r="A211" t="s">
        <v>284</v>
      </c>
      <c r="B211" s="1">
        <v>45716</v>
      </c>
      <c r="C211" t="s">
        <v>17</v>
      </c>
      <c r="D211" t="s">
        <v>12</v>
      </c>
      <c r="E211">
        <v>41</v>
      </c>
      <c r="F211">
        <v>850000</v>
      </c>
      <c r="G211" t="s">
        <v>24</v>
      </c>
      <c r="I211" t="s">
        <v>19</v>
      </c>
      <c r="J211" t="s">
        <v>30</v>
      </c>
    </row>
    <row r="212" spans="1:10" x14ac:dyDescent="0.35">
      <c r="A212" t="s">
        <v>285</v>
      </c>
      <c r="B212" s="1">
        <v>45928</v>
      </c>
      <c r="C212" t="s">
        <v>17</v>
      </c>
      <c r="D212" t="s">
        <v>39</v>
      </c>
      <c r="E212" t="s">
        <v>13</v>
      </c>
      <c r="F212">
        <v>26888</v>
      </c>
      <c r="G212">
        <v>5</v>
      </c>
      <c r="H212" t="s">
        <v>49</v>
      </c>
      <c r="I212" t="s">
        <v>50</v>
      </c>
      <c r="J212" t="s">
        <v>25</v>
      </c>
    </row>
    <row r="213" spans="1:10" x14ac:dyDescent="0.35">
      <c r="A213" t="s">
        <v>139</v>
      </c>
      <c r="B213" s="1">
        <v>45701</v>
      </c>
      <c r="D213" t="s">
        <v>37</v>
      </c>
      <c r="E213">
        <v>2500</v>
      </c>
      <c r="F213">
        <v>-800</v>
      </c>
      <c r="G213">
        <v>10</v>
      </c>
      <c r="H213" t="s">
        <v>40</v>
      </c>
      <c r="I213" t="s">
        <v>44</v>
      </c>
      <c r="J213" t="s">
        <v>20</v>
      </c>
    </row>
    <row r="214" spans="1:10" x14ac:dyDescent="0.35">
      <c r="A214" t="s">
        <v>286</v>
      </c>
      <c r="B214" t="s">
        <v>287</v>
      </c>
      <c r="C214" t="s">
        <v>57</v>
      </c>
      <c r="D214" t="s">
        <v>89</v>
      </c>
      <c r="E214" t="s">
        <v>13</v>
      </c>
      <c r="F214">
        <v>2837</v>
      </c>
      <c r="G214">
        <v>5</v>
      </c>
      <c r="H214" t="s">
        <v>49</v>
      </c>
      <c r="I214" t="s">
        <v>50</v>
      </c>
      <c r="J214" t="s">
        <v>30</v>
      </c>
    </row>
    <row r="215" spans="1:10" x14ac:dyDescent="0.35">
      <c r="A215" t="s">
        <v>288</v>
      </c>
      <c r="B215" t="s">
        <v>289</v>
      </c>
      <c r="C215" t="s">
        <v>57</v>
      </c>
      <c r="D215" t="s">
        <v>39</v>
      </c>
      <c r="E215">
        <v>2500</v>
      </c>
      <c r="F215">
        <v>-800</v>
      </c>
      <c r="G215" t="s">
        <v>24</v>
      </c>
      <c r="H215" t="s">
        <v>53</v>
      </c>
      <c r="I215" t="s">
        <v>50</v>
      </c>
      <c r="J215" t="s">
        <v>20</v>
      </c>
    </row>
    <row r="216" spans="1:10" x14ac:dyDescent="0.35">
      <c r="A216" t="s">
        <v>290</v>
      </c>
      <c r="B216" s="1">
        <v>45989</v>
      </c>
      <c r="C216" t="s">
        <v>23</v>
      </c>
      <c r="D216" t="s">
        <v>12</v>
      </c>
      <c r="E216">
        <v>154</v>
      </c>
      <c r="F216" t="s">
        <v>78</v>
      </c>
      <c r="G216" t="s">
        <v>24</v>
      </c>
      <c r="H216" t="s">
        <v>70</v>
      </c>
      <c r="I216" t="s">
        <v>41</v>
      </c>
      <c r="J216" t="s">
        <v>33</v>
      </c>
    </row>
    <row r="217" spans="1:10" x14ac:dyDescent="0.35">
      <c r="A217" t="s">
        <v>291</v>
      </c>
      <c r="B217" s="1">
        <v>45880</v>
      </c>
      <c r="C217" t="s">
        <v>48</v>
      </c>
      <c r="D217" t="s">
        <v>12</v>
      </c>
      <c r="E217" t="s">
        <v>13</v>
      </c>
      <c r="F217" t="s">
        <v>78</v>
      </c>
      <c r="G217" t="s">
        <v>24</v>
      </c>
      <c r="H217" t="s">
        <v>29</v>
      </c>
      <c r="I217" t="s">
        <v>41</v>
      </c>
      <c r="J217" t="s">
        <v>42</v>
      </c>
    </row>
    <row r="218" spans="1:10" x14ac:dyDescent="0.35">
      <c r="A218" t="s">
        <v>292</v>
      </c>
      <c r="B218" s="1">
        <v>45967</v>
      </c>
      <c r="C218" t="s">
        <v>48</v>
      </c>
      <c r="D218" t="s">
        <v>73</v>
      </c>
      <c r="E218">
        <v>196</v>
      </c>
      <c r="F218" s="2">
        <v>4500</v>
      </c>
      <c r="G218" t="s">
        <v>24</v>
      </c>
      <c r="H218" t="s">
        <v>70</v>
      </c>
      <c r="I218" t="s">
        <v>41</v>
      </c>
      <c r="J218" t="s">
        <v>74</v>
      </c>
    </row>
    <row r="219" spans="1:10" x14ac:dyDescent="0.35">
      <c r="A219" t="s">
        <v>175</v>
      </c>
      <c r="B219" t="s">
        <v>293</v>
      </c>
      <c r="D219" t="s">
        <v>89</v>
      </c>
      <c r="E219">
        <v>-12</v>
      </c>
      <c r="F219">
        <v>850000</v>
      </c>
      <c r="G219">
        <v>4</v>
      </c>
      <c r="H219" t="s">
        <v>67</v>
      </c>
      <c r="I219" t="s">
        <v>50</v>
      </c>
      <c r="J219" t="s">
        <v>33</v>
      </c>
    </row>
    <row r="220" spans="1:10" x14ac:dyDescent="0.35">
      <c r="A220" t="s">
        <v>209</v>
      </c>
      <c r="B220" s="1">
        <v>45697</v>
      </c>
      <c r="C220" t="s">
        <v>27</v>
      </c>
      <c r="D220" t="s">
        <v>64</v>
      </c>
      <c r="E220">
        <v>-12</v>
      </c>
      <c r="F220">
        <v>46858</v>
      </c>
      <c r="G220">
        <v>1</v>
      </c>
      <c r="H220" t="s">
        <v>70</v>
      </c>
      <c r="I220" t="s">
        <v>14</v>
      </c>
      <c r="J220" t="s">
        <v>30</v>
      </c>
    </row>
    <row r="221" spans="1:10" x14ac:dyDescent="0.35">
      <c r="A221" t="s">
        <v>232</v>
      </c>
      <c r="B221" s="1">
        <v>45689</v>
      </c>
      <c r="C221" t="s">
        <v>11</v>
      </c>
      <c r="D221" t="s">
        <v>37</v>
      </c>
      <c r="E221" t="s">
        <v>13</v>
      </c>
      <c r="F221">
        <v>850000</v>
      </c>
      <c r="G221">
        <v>2</v>
      </c>
      <c r="H221" t="s">
        <v>40</v>
      </c>
      <c r="I221" t="s">
        <v>19</v>
      </c>
      <c r="J221" t="s">
        <v>30</v>
      </c>
    </row>
    <row r="222" spans="1:10" x14ac:dyDescent="0.35">
      <c r="A222" t="s">
        <v>294</v>
      </c>
      <c r="B222" t="s">
        <v>295</v>
      </c>
      <c r="C222" t="s">
        <v>11</v>
      </c>
      <c r="D222" t="s">
        <v>39</v>
      </c>
      <c r="E222">
        <v>2500</v>
      </c>
      <c r="F222">
        <v>-800</v>
      </c>
      <c r="G222">
        <v>95</v>
      </c>
      <c r="H222" t="s">
        <v>49</v>
      </c>
      <c r="I222" t="s">
        <v>44</v>
      </c>
      <c r="J222" t="s">
        <v>42</v>
      </c>
    </row>
    <row r="223" spans="1:10" x14ac:dyDescent="0.35">
      <c r="A223" t="s">
        <v>296</v>
      </c>
      <c r="B223" t="s">
        <v>99</v>
      </c>
      <c r="D223" t="s">
        <v>32</v>
      </c>
      <c r="E223">
        <v>-12</v>
      </c>
      <c r="F223">
        <v>850000</v>
      </c>
      <c r="G223" t="s">
        <v>24</v>
      </c>
      <c r="H223" t="s">
        <v>67</v>
      </c>
      <c r="I223" t="s">
        <v>46</v>
      </c>
      <c r="J223" t="s">
        <v>42</v>
      </c>
    </row>
    <row r="224" spans="1:10" x14ac:dyDescent="0.35">
      <c r="A224" t="s">
        <v>105</v>
      </c>
      <c r="B224" s="1">
        <v>45740</v>
      </c>
      <c r="D224" t="s">
        <v>28</v>
      </c>
      <c r="E224">
        <v>2500</v>
      </c>
      <c r="F224" s="2">
        <v>4500</v>
      </c>
      <c r="G224">
        <v>3</v>
      </c>
      <c r="I224" t="s">
        <v>41</v>
      </c>
      <c r="J224" t="s">
        <v>25</v>
      </c>
    </row>
    <row r="225" spans="1:10" x14ac:dyDescent="0.35">
      <c r="A225" t="s">
        <v>297</v>
      </c>
      <c r="B225" s="1">
        <v>45982</v>
      </c>
      <c r="C225" t="s">
        <v>11</v>
      </c>
      <c r="D225" t="s">
        <v>39</v>
      </c>
      <c r="E225" t="s">
        <v>13</v>
      </c>
      <c r="F225">
        <v>850000</v>
      </c>
      <c r="G225">
        <v>95</v>
      </c>
      <c r="H225" t="s">
        <v>53</v>
      </c>
      <c r="I225" t="s">
        <v>41</v>
      </c>
      <c r="J225" t="s">
        <v>74</v>
      </c>
    </row>
    <row r="226" spans="1:10" x14ac:dyDescent="0.35">
      <c r="A226" t="s">
        <v>236</v>
      </c>
      <c r="B226" s="1">
        <v>45779</v>
      </c>
      <c r="C226" t="s">
        <v>23</v>
      </c>
      <c r="D226" t="s">
        <v>73</v>
      </c>
      <c r="E226">
        <v>29</v>
      </c>
      <c r="F226">
        <v>850000</v>
      </c>
      <c r="G226">
        <v>3</v>
      </c>
      <c r="H226" t="s">
        <v>70</v>
      </c>
      <c r="I226" t="s">
        <v>19</v>
      </c>
      <c r="J226" t="s">
        <v>15</v>
      </c>
    </row>
    <row r="227" spans="1:10" x14ac:dyDescent="0.35">
      <c r="A227" t="s">
        <v>249</v>
      </c>
      <c r="B227" t="s">
        <v>298</v>
      </c>
      <c r="D227" t="s">
        <v>28</v>
      </c>
      <c r="E227">
        <v>-12</v>
      </c>
      <c r="F227" t="s">
        <v>78</v>
      </c>
      <c r="G227">
        <v>95</v>
      </c>
      <c r="H227" t="s">
        <v>53</v>
      </c>
      <c r="I227" t="s">
        <v>19</v>
      </c>
      <c r="J227" t="s">
        <v>15</v>
      </c>
    </row>
    <row r="228" spans="1:10" x14ac:dyDescent="0.35">
      <c r="A228" t="s">
        <v>299</v>
      </c>
      <c r="B228" s="1">
        <v>45691</v>
      </c>
      <c r="C228" t="s">
        <v>11</v>
      </c>
      <c r="D228" t="s">
        <v>12</v>
      </c>
      <c r="E228">
        <v>75</v>
      </c>
      <c r="F228" s="2">
        <v>4500</v>
      </c>
      <c r="G228">
        <v>95</v>
      </c>
      <c r="H228" t="s">
        <v>49</v>
      </c>
      <c r="I228" t="s">
        <v>50</v>
      </c>
      <c r="J228" t="s">
        <v>30</v>
      </c>
    </row>
    <row r="229" spans="1:10" x14ac:dyDescent="0.35">
      <c r="A229" t="s">
        <v>300</v>
      </c>
      <c r="B229" t="s">
        <v>301</v>
      </c>
      <c r="C229" t="s">
        <v>27</v>
      </c>
      <c r="D229" t="s">
        <v>12</v>
      </c>
      <c r="E229" t="s">
        <v>13</v>
      </c>
      <c r="F229" t="s">
        <v>78</v>
      </c>
      <c r="G229">
        <v>95</v>
      </c>
      <c r="I229" t="s">
        <v>50</v>
      </c>
      <c r="J229" t="s">
        <v>15</v>
      </c>
    </row>
    <row r="230" spans="1:10" x14ac:dyDescent="0.35">
      <c r="A230" t="s">
        <v>282</v>
      </c>
      <c r="B230" t="s">
        <v>188</v>
      </c>
      <c r="C230" t="s">
        <v>36</v>
      </c>
      <c r="D230" t="s">
        <v>73</v>
      </c>
      <c r="E230">
        <v>2500</v>
      </c>
      <c r="F230">
        <v>26653</v>
      </c>
      <c r="G230">
        <v>11</v>
      </c>
      <c r="H230" t="s">
        <v>40</v>
      </c>
      <c r="I230" t="s">
        <v>14</v>
      </c>
      <c r="J230" t="s">
        <v>42</v>
      </c>
    </row>
    <row r="231" spans="1:10" x14ac:dyDescent="0.35">
      <c r="A231" t="s">
        <v>302</v>
      </c>
      <c r="B231" t="s">
        <v>303</v>
      </c>
      <c r="C231" t="s">
        <v>27</v>
      </c>
      <c r="D231" t="s">
        <v>12</v>
      </c>
      <c r="E231">
        <v>-12</v>
      </c>
      <c r="F231">
        <v>26731</v>
      </c>
      <c r="G231">
        <v>4</v>
      </c>
      <c r="H231" t="s">
        <v>40</v>
      </c>
      <c r="I231" t="s">
        <v>44</v>
      </c>
      <c r="J231" t="s">
        <v>33</v>
      </c>
    </row>
    <row r="232" spans="1:10" x14ac:dyDescent="0.35">
      <c r="A232" t="s">
        <v>117</v>
      </c>
      <c r="B232" s="1">
        <v>45664</v>
      </c>
      <c r="C232" t="s">
        <v>27</v>
      </c>
      <c r="D232" t="s">
        <v>73</v>
      </c>
      <c r="E232" t="s">
        <v>13</v>
      </c>
      <c r="F232">
        <v>46467</v>
      </c>
      <c r="G232" t="s">
        <v>24</v>
      </c>
      <c r="H232" t="s">
        <v>53</v>
      </c>
      <c r="I232" t="s">
        <v>41</v>
      </c>
      <c r="J232" t="s">
        <v>33</v>
      </c>
    </row>
    <row r="233" spans="1:10" x14ac:dyDescent="0.35">
      <c r="A233" t="s">
        <v>26</v>
      </c>
      <c r="B233" s="1">
        <v>45971</v>
      </c>
      <c r="C233" t="s">
        <v>76</v>
      </c>
      <c r="D233" t="s">
        <v>73</v>
      </c>
      <c r="E233">
        <v>136</v>
      </c>
      <c r="F233" s="2">
        <v>4500</v>
      </c>
      <c r="G233" t="s">
        <v>24</v>
      </c>
      <c r="H233" t="s">
        <v>67</v>
      </c>
      <c r="I233" t="s">
        <v>14</v>
      </c>
      <c r="J233" t="s">
        <v>15</v>
      </c>
    </row>
    <row r="234" spans="1:10" x14ac:dyDescent="0.35">
      <c r="A234" t="s">
        <v>257</v>
      </c>
      <c r="B234" s="1">
        <v>45752</v>
      </c>
      <c r="C234" t="s">
        <v>11</v>
      </c>
      <c r="D234" t="s">
        <v>28</v>
      </c>
      <c r="E234">
        <v>42</v>
      </c>
      <c r="F234" t="s">
        <v>78</v>
      </c>
      <c r="G234">
        <v>95</v>
      </c>
      <c r="H234" t="s">
        <v>67</v>
      </c>
      <c r="I234" t="s">
        <v>50</v>
      </c>
      <c r="J234" t="s">
        <v>42</v>
      </c>
    </row>
    <row r="235" spans="1:10" x14ac:dyDescent="0.35">
      <c r="A235" t="s">
        <v>224</v>
      </c>
      <c r="B235" s="1">
        <v>45690</v>
      </c>
      <c r="C235" t="s">
        <v>11</v>
      </c>
      <c r="D235" t="s">
        <v>28</v>
      </c>
      <c r="E235" t="s">
        <v>13</v>
      </c>
      <c r="F235">
        <v>850000</v>
      </c>
      <c r="G235">
        <v>95</v>
      </c>
      <c r="H235" t="s">
        <v>40</v>
      </c>
      <c r="I235" t="s">
        <v>46</v>
      </c>
      <c r="J235" t="s">
        <v>30</v>
      </c>
    </row>
    <row r="236" spans="1:10" x14ac:dyDescent="0.35">
      <c r="A236" t="s">
        <v>304</v>
      </c>
      <c r="B236" t="s">
        <v>305</v>
      </c>
      <c r="C236" t="s">
        <v>23</v>
      </c>
      <c r="D236" t="s">
        <v>28</v>
      </c>
      <c r="E236">
        <v>2500</v>
      </c>
      <c r="F236">
        <v>850000</v>
      </c>
      <c r="G236" t="s">
        <v>24</v>
      </c>
      <c r="H236" t="s">
        <v>49</v>
      </c>
      <c r="I236" t="s">
        <v>46</v>
      </c>
      <c r="J236" t="s">
        <v>30</v>
      </c>
    </row>
    <row r="237" spans="1:10" x14ac:dyDescent="0.35">
      <c r="A237" t="s">
        <v>168</v>
      </c>
      <c r="B237" s="1">
        <v>45848</v>
      </c>
      <c r="C237" t="s">
        <v>23</v>
      </c>
      <c r="D237" t="s">
        <v>89</v>
      </c>
      <c r="E237">
        <v>89</v>
      </c>
      <c r="F237" s="2">
        <v>4500</v>
      </c>
      <c r="G237">
        <v>13</v>
      </c>
      <c r="I237" t="s">
        <v>50</v>
      </c>
      <c r="J237" t="s">
        <v>20</v>
      </c>
    </row>
    <row r="238" spans="1:10" x14ac:dyDescent="0.35">
      <c r="A238" t="s">
        <v>306</v>
      </c>
      <c r="B238" s="1">
        <v>45818</v>
      </c>
      <c r="D238" t="s">
        <v>28</v>
      </c>
      <c r="E238">
        <v>111</v>
      </c>
      <c r="F238" t="s">
        <v>78</v>
      </c>
      <c r="G238" t="s">
        <v>24</v>
      </c>
      <c r="H238" t="s">
        <v>67</v>
      </c>
      <c r="I238" t="s">
        <v>41</v>
      </c>
      <c r="J238" t="s">
        <v>20</v>
      </c>
    </row>
    <row r="239" spans="1:10" x14ac:dyDescent="0.35">
      <c r="A239" t="s">
        <v>207</v>
      </c>
      <c r="B239" t="s">
        <v>307</v>
      </c>
      <c r="C239" t="s">
        <v>27</v>
      </c>
      <c r="D239" t="s">
        <v>39</v>
      </c>
      <c r="E239" t="s">
        <v>13</v>
      </c>
      <c r="F239">
        <v>44502</v>
      </c>
      <c r="G239">
        <v>95</v>
      </c>
      <c r="H239" t="s">
        <v>49</v>
      </c>
      <c r="I239" t="s">
        <v>46</v>
      </c>
      <c r="J239" t="s">
        <v>33</v>
      </c>
    </row>
    <row r="240" spans="1:10" x14ac:dyDescent="0.35">
      <c r="A240" t="s">
        <v>308</v>
      </c>
      <c r="B240" t="s">
        <v>309</v>
      </c>
      <c r="C240" t="s">
        <v>27</v>
      </c>
      <c r="D240" t="s">
        <v>64</v>
      </c>
      <c r="E240" t="s">
        <v>13</v>
      </c>
      <c r="F240" t="s">
        <v>78</v>
      </c>
      <c r="G240">
        <v>9</v>
      </c>
      <c r="H240" t="s">
        <v>40</v>
      </c>
      <c r="I240" t="s">
        <v>41</v>
      </c>
      <c r="J240" t="s">
        <v>33</v>
      </c>
    </row>
    <row r="241" spans="1:10" x14ac:dyDescent="0.35">
      <c r="A241" t="s">
        <v>310</v>
      </c>
      <c r="B241" s="1">
        <v>45774</v>
      </c>
      <c r="C241" t="s">
        <v>27</v>
      </c>
      <c r="D241" t="s">
        <v>73</v>
      </c>
      <c r="E241" t="s">
        <v>13</v>
      </c>
      <c r="F241" t="s">
        <v>78</v>
      </c>
      <c r="G241">
        <v>95</v>
      </c>
      <c r="H241" t="s">
        <v>18</v>
      </c>
      <c r="I241" t="s">
        <v>41</v>
      </c>
      <c r="J241" t="s">
        <v>33</v>
      </c>
    </row>
    <row r="242" spans="1:10" x14ac:dyDescent="0.35">
      <c r="A242" t="s">
        <v>288</v>
      </c>
      <c r="B242" t="s">
        <v>287</v>
      </c>
      <c r="C242" t="s">
        <v>11</v>
      </c>
      <c r="D242" t="s">
        <v>64</v>
      </c>
      <c r="E242">
        <v>-12</v>
      </c>
      <c r="F242">
        <v>1282</v>
      </c>
      <c r="G242" t="s">
        <v>24</v>
      </c>
      <c r="H242" t="s">
        <v>40</v>
      </c>
      <c r="I242" t="s">
        <v>41</v>
      </c>
      <c r="J242" t="s">
        <v>30</v>
      </c>
    </row>
    <row r="243" spans="1:10" x14ac:dyDescent="0.35">
      <c r="A243" t="s">
        <v>311</v>
      </c>
      <c r="B243" s="1">
        <v>45939</v>
      </c>
      <c r="C243" t="s">
        <v>17</v>
      </c>
      <c r="D243" t="s">
        <v>89</v>
      </c>
      <c r="E243">
        <v>107</v>
      </c>
      <c r="F243" s="2">
        <v>4500</v>
      </c>
      <c r="G243" t="s">
        <v>24</v>
      </c>
      <c r="H243" t="s">
        <v>18</v>
      </c>
      <c r="I243" t="s">
        <v>50</v>
      </c>
      <c r="J243" t="s">
        <v>33</v>
      </c>
    </row>
    <row r="244" spans="1:10" x14ac:dyDescent="0.35">
      <c r="A244" t="s">
        <v>306</v>
      </c>
      <c r="B244" s="1">
        <v>46017</v>
      </c>
      <c r="C244" t="s">
        <v>17</v>
      </c>
      <c r="D244" t="s">
        <v>89</v>
      </c>
      <c r="E244" t="s">
        <v>13</v>
      </c>
      <c r="F244" t="s">
        <v>78</v>
      </c>
      <c r="G244">
        <v>3</v>
      </c>
      <c r="H244" t="s">
        <v>49</v>
      </c>
      <c r="I244" t="s">
        <v>19</v>
      </c>
      <c r="J244" t="s">
        <v>15</v>
      </c>
    </row>
    <row r="245" spans="1:10" x14ac:dyDescent="0.35">
      <c r="A245" t="s">
        <v>312</v>
      </c>
      <c r="B245" s="1">
        <v>45943</v>
      </c>
      <c r="C245" t="s">
        <v>17</v>
      </c>
      <c r="D245" t="s">
        <v>37</v>
      </c>
      <c r="E245">
        <v>164</v>
      </c>
      <c r="F245" t="s">
        <v>78</v>
      </c>
      <c r="G245">
        <v>95</v>
      </c>
      <c r="H245" t="s">
        <v>29</v>
      </c>
      <c r="I245" t="s">
        <v>19</v>
      </c>
      <c r="J245" t="s">
        <v>15</v>
      </c>
    </row>
    <row r="246" spans="1:10" x14ac:dyDescent="0.35">
      <c r="A246" t="s">
        <v>313</v>
      </c>
      <c r="B246" s="1">
        <v>45929</v>
      </c>
      <c r="C246" t="s">
        <v>23</v>
      </c>
      <c r="D246" t="s">
        <v>64</v>
      </c>
      <c r="E246" t="s">
        <v>13</v>
      </c>
      <c r="F246">
        <v>36837</v>
      </c>
      <c r="G246" t="s">
        <v>24</v>
      </c>
      <c r="H246" t="s">
        <v>18</v>
      </c>
      <c r="I246" t="s">
        <v>14</v>
      </c>
      <c r="J246" t="s">
        <v>42</v>
      </c>
    </row>
    <row r="247" spans="1:10" x14ac:dyDescent="0.35">
      <c r="A247" t="s">
        <v>214</v>
      </c>
      <c r="B247" t="s">
        <v>314</v>
      </c>
      <c r="C247" t="s">
        <v>36</v>
      </c>
      <c r="D247" t="s">
        <v>37</v>
      </c>
      <c r="E247">
        <v>-12</v>
      </c>
      <c r="F247" s="2">
        <v>4500</v>
      </c>
      <c r="G247">
        <v>95</v>
      </c>
      <c r="H247" t="s">
        <v>40</v>
      </c>
      <c r="I247" t="s">
        <v>14</v>
      </c>
      <c r="J247" t="s">
        <v>74</v>
      </c>
    </row>
    <row r="248" spans="1:10" x14ac:dyDescent="0.35">
      <c r="A248" t="s">
        <v>315</v>
      </c>
      <c r="B248" s="1">
        <v>45848</v>
      </c>
      <c r="D248" t="s">
        <v>39</v>
      </c>
      <c r="E248">
        <v>-12</v>
      </c>
      <c r="F248">
        <v>-800</v>
      </c>
      <c r="G248">
        <v>9</v>
      </c>
      <c r="H248" t="s">
        <v>18</v>
      </c>
      <c r="I248" t="s">
        <v>41</v>
      </c>
      <c r="J248" t="s">
        <v>30</v>
      </c>
    </row>
    <row r="249" spans="1:10" x14ac:dyDescent="0.35">
      <c r="A249" t="s">
        <v>103</v>
      </c>
      <c r="B249" s="1">
        <v>45880</v>
      </c>
      <c r="D249" t="s">
        <v>12</v>
      </c>
      <c r="E249" t="s">
        <v>13</v>
      </c>
      <c r="F249">
        <v>29943</v>
      </c>
      <c r="G249">
        <v>95</v>
      </c>
      <c r="H249" t="s">
        <v>40</v>
      </c>
      <c r="I249" t="s">
        <v>14</v>
      </c>
      <c r="J249" t="s">
        <v>25</v>
      </c>
    </row>
    <row r="250" spans="1:10" x14ac:dyDescent="0.35">
      <c r="A250" t="s">
        <v>316</v>
      </c>
      <c r="B250" t="s">
        <v>317</v>
      </c>
      <c r="C250" t="s">
        <v>11</v>
      </c>
      <c r="D250" t="s">
        <v>89</v>
      </c>
      <c r="E250">
        <v>-12</v>
      </c>
      <c r="F250" s="2">
        <v>4500</v>
      </c>
      <c r="G250">
        <v>5</v>
      </c>
      <c r="H250" t="s">
        <v>67</v>
      </c>
      <c r="I250" t="s">
        <v>46</v>
      </c>
      <c r="J250" t="s">
        <v>42</v>
      </c>
    </row>
    <row r="251" spans="1:10" x14ac:dyDescent="0.35">
      <c r="A251" t="s">
        <v>318</v>
      </c>
      <c r="B251" s="1">
        <v>45663</v>
      </c>
      <c r="C251" t="s">
        <v>57</v>
      </c>
      <c r="D251" t="s">
        <v>73</v>
      </c>
      <c r="E251">
        <v>-12</v>
      </c>
      <c r="F251">
        <v>850000</v>
      </c>
      <c r="G251">
        <v>95</v>
      </c>
      <c r="H251" t="s">
        <v>67</v>
      </c>
      <c r="I251" t="s">
        <v>44</v>
      </c>
      <c r="J251" t="s">
        <v>74</v>
      </c>
    </row>
    <row r="252" spans="1:10" x14ac:dyDescent="0.35">
      <c r="A252" t="s">
        <v>319</v>
      </c>
      <c r="B252" s="1">
        <v>45752</v>
      </c>
      <c r="D252" t="s">
        <v>73</v>
      </c>
      <c r="E252">
        <v>188</v>
      </c>
      <c r="F252">
        <v>850000</v>
      </c>
      <c r="G252">
        <v>95</v>
      </c>
      <c r="H252" t="s">
        <v>18</v>
      </c>
      <c r="I252" t="s">
        <v>44</v>
      </c>
      <c r="J252" t="s">
        <v>74</v>
      </c>
    </row>
    <row r="253" spans="1:10" x14ac:dyDescent="0.35">
      <c r="A253" t="s">
        <v>320</v>
      </c>
      <c r="B253" t="s">
        <v>99</v>
      </c>
      <c r="C253" t="s">
        <v>23</v>
      </c>
      <c r="D253" t="s">
        <v>37</v>
      </c>
      <c r="E253">
        <v>2500</v>
      </c>
      <c r="F253">
        <v>850000</v>
      </c>
      <c r="G253">
        <v>95</v>
      </c>
      <c r="H253" t="s">
        <v>67</v>
      </c>
      <c r="I253" t="s">
        <v>44</v>
      </c>
      <c r="J253" t="s">
        <v>25</v>
      </c>
    </row>
    <row r="254" spans="1:10" x14ac:dyDescent="0.35">
      <c r="A254" t="s">
        <v>269</v>
      </c>
      <c r="B254" t="s">
        <v>321</v>
      </c>
      <c r="C254" t="s">
        <v>23</v>
      </c>
      <c r="D254" t="s">
        <v>73</v>
      </c>
      <c r="E254">
        <v>26</v>
      </c>
      <c r="F254" t="s">
        <v>78</v>
      </c>
      <c r="G254">
        <v>10</v>
      </c>
      <c r="H254" t="s">
        <v>40</v>
      </c>
      <c r="I254" t="s">
        <v>14</v>
      </c>
      <c r="J254" t="s">
        <v>33</v>
      </c>
    </row>
    <row r="255" spans="1:10" x14ac:dyDescent="0.35">
      <c r="A255" t="s">
        <v>201</v>
      </c>
      <c r="B255" s="1">
        <v>45727</v>
      </c>
      <c r="C255" t="s">
        <v>23</v>
      </c>
      <c r="D255" t="s">
        <v>28</v>
      </c>
      <c r="E255">
        <v>41</v>
      </c>
      <c r="F255">
        <v>850000</v>
      </c>
      <c r="G255">
        <v>13</v>
      </c>
      <c r="H255" t="s">
        <v>70</v>
      </c>
      <c r="I255" t="s">
        <v>41</v>
      </c>
      <c r="J255" t="s">
        <v>30</v>
      </c>
    </row>
    <row r="256" spans="1:10" x14ac:dyDescent="0.35">
      <c r="A256" t="s">
        <v>322</v>
      </c>
      <c r="B256" s="1">
        <v>45876</v>
      </c>
      <c r="C256" t="s">
        <v>23</v>
      </c>
      <c r="D256" t="s">
        <v>39</v>
      </c>
      <c r="E256">
        <v>126</v>
      </c>
      <c r="F256">
        <v>850000</v>
      </c>
      <c r="G256">
        <v>13</v>
      </c>
      <c r="H256" t="s">
        <v>40</v>
      </c>
      <c r="I256" t="s">
        <v>14</v>
      </c>
      <c r="J256" t="s">
        <v>33</v>
      </c>
    </row>
    <row r="257" spans="1:10" x14ac:dyDescent="0.35">
      <c r="A257" t="s">
        <v>323</v>
      </c>
      <c r="B257" s="1">
        <v>45767</v>
      </c>
      <c r="C257" t="s">
        <v>48</v>
      </c>
      <c r="D257" t="s">
        <v>89</v>
      </c>
      <c r="E257">
        <v>2500</v>
      </c>
      <c r="F257" s="2">
        <v>4500</v>
      </c>
      <c r="G257">
        <v>95</v>
      </c>
      <c r="H257" t="s">
        <v>18</v>
      </c>
      <c r="I257" t="s">
        <v>46</v>
      </c>
      <c r="J257" t="s">
        <v>42</v>
      </c>
    </row>
    <row r="258" spans="1:10" x14ac:dyDescent="0.35">
      <c r="A258" t="s">
        <v>324</v>
      </c>
      <c r="B258" t="s">
        <v>325</v>
      </c>
      <c r="C258" t="s">
        <v>76</v>
      </c>
      <c r="D258" t="s">
        <v>64</v>
      </c>
      <c r="E258" t="s">
        <v>13</v>
      </c>
      <c r="F258">
        <v>16891</v>
      </c>
      <c r="G258">
        <v>9</v>
      </c>
      <c r="H258" t="s">
        <v>29</v>
      </c>
      <c r="I258" t="s">
        <v>19</v>
      </c>
      <c r="J258" t="s">
        <v>42</v>
      </c>
    </row>
    <row r="259" spans="1:10" x14ac:dyDescent="0.35">
      <c r="A259" t="s">
        <v>326</v>
      </c>
      <c r="B259" s="1">
        <v>45820</v>
      </c>
      <c r="C259" t="s">
        <v>23</v>
      </c>
      <c r="D259" t="s">
        <v>32</v>
      </c>
      <c r="E259">
        <v>-12</v>
      </c>
      <c r="F259">
        <v>27319</v>
      </c>
      <c r="G259" t="s">
        <v>24</v>
      </c>
      <c r="H259" t="s">
        <v>53</v>
      </c>
      <c r="I259" t="s">
        <v>46</v>
      </c>
      <c r="J259" t="s">
        <v>25</v>
      </c>
    </row>
    <row r="260" spans="1:10" x14ac:dyDescent="0.35">
      <c r="A260" t="s">
        <v>327</v>
      </c>
      <c r="B260" s="1">
        <v>45709</v>
      </c>
      <c r="C260" t="s">
        <v>27</v>
      </c>
      <c r="D260" t="s">
        <v>73</v>
      </c>
      <c r="E260" t="s">
        <v>13</v>
      </c>
      <c r="F260" t="s">
        <v>78</v>
      </c>
      <c r="G260">
        <v>2</v>
      </c>
      <c r="H260" t="s">
        <v>67</v>
      </c>
      <c r="I260" t="s">
        <v>19</v>
      </c>
      <c r="J260" t="s">
        <v>33</v>
      </c>
    </row>
    <row r="261" spans="1:10" x14ac:dyDescent="0.35">
      <c r="A261" t="s">
        <v>328</v>
      </c>
      <c r="B261" s="1">
        <v>45823</v>
      </c>
      <c r="C261" t="s">
        <v>76</v>
      </c>
      <c r="D261" t="s">
        <v>64</v>
      </c>
      <c r="E261">
        <v>54</v>
      </c>
      <c r="F261">
        <v>850000</v>
      </c>
      <c r="G261">
        <v>11</v>
      </c>
      <c r="H261" t="s">
        <v>29</v>
      </c>
      <c r="I261" t="s">
        <v>14</v>
      </c>
      <c r="J261" t="s">
        <v>25</v>
      </c>
    </row>
    <row r="262" spans="1:10" x14ac:dyDescent="0.35">
      <c r="A262" t="s">
        <v>178</v>
      </c>
      <c r="B262" s="1">
        <v>45802</v>
      </c>
      <c r="C262" t="s">
        <v>17</v>
      </c>
      <c r="D262" t="s">
        <v>39</v>
      </c>
      <c r="E262">
        <v>2500</v>
      </c>
      <c r="F262" t="s">
        <v>78</v>
      </c>
      <c r="G262">
        <v>3</v>
      </c>
      <c r="H262" t="s">
        <v>67</v>
      </c>
      <c r="I262" t="s">
        <v>50</v>
      </c>
      <c r="J262" t="s">
        <v>30</v>
      </c>
    </row>
    <row r="263" spans="1:10" x14ac:dyDescent="0.35">
      <c r="A263" t="s">
        <v>105</v>
      </c>
      <c r="B263" t="s">
        <v>329</v>
      </c>
      <c r="C263" t="s">
        <v>57</v>
      </c>
      <c r="D263" t="s">
        <v>39</v>
      </c>
      <c r="E263">
        <v>-12</v>
      </c>
      <c r="F263">
        <v>-800</v>
      </c>
      <c r="G263">
        <v>13</v>
      </c>
      <c r="H263" t="s">
        <v>67</v>
      </c>
      <c r="I263" t="s">
        <v>50</v>
      </c>
      <c r="J263" t="s">
        <v>30</v>
      </c>
    </row>
    <row r="264" spans="1:10" x14ac:dyDescent="0.35">
      <c r="A264" t="s">
        <v>300</v>
      </c>
      <c r="B264" t="s">
        <v>330</v>
      </c>
      <c r="C264" t="s">
        <v>11</v>
      </c>
      <c r="D264" t="s">
        <v>12</v>
      </c>
      <c r="E264">
        <v>2500</v>
      </c>
      <c r="F264">
        <v>-800</v>
      </c>
      <c r="G264">
        <v>2</v>
      </c>
      <c r="H264" t="s">
        <v>67</v>
      </c>
      <c r="I264" t="s">
        <v>46</v>
      </c>
      <c r="J264" t="s">
        <v>74</v>
      </c>
    </row>
    <row r="265" spans="1:10" x14ac:dyDescent="0.35">
      <c r="A265" t="s">
        <v>212</v>
      </c>
      <c r="B265" s="1">
        <v>45994</v>
      </c>
      <c r="C265" t="s">
        <v>17</v>
      </c>
      <c r="D265" t="s">
        <v>32</v>
      </c>
      <c r="E265">
        <v>3</v>
      </c>
      <c r="F265">
        <v>-800</v>
      </c>
      <c r="G265" t="s">
        <v>24</v>
      </c>
      <c r="H265" t="s">
        <v>70</v>
      </c>
      <c r="I265" t="s">
        <v>50</v>
      </c>
      <c r="J265" t="s">
        <v>20</v>
      </c>
    </row>
    <row r="266" spans="1:10" x14ac:dyDescent="0.35">
      <c r="A266" t="s">
        <v>331</v>
      </c>
      <c r="B266" t="s">
        <v>332</v>
      </c>
      <c r="C266" t="s">
        <v>11</v>
      </c>
      <c r="D266" t="s">
        <v>12</v>
      </c>
      <c r="E266">
        <v>2500</v>
      </c>
      <c r="F266" t="s">
        <v>78</v>
      </c>
      <c r="G266" t="s">
        <v>24</v>
      </c>
      <c r="H266" t="s">
        <v>49</v>
      </c>
      <c r="I266" t="s">
        <v>19</v>
      </c>
      <c r="J266" t="s">
        <v>15</v>
      </c>
    </row>
    <row r="267" spans="1:10" x14ac:dyDescent="0.35">
      <c r="A267" t="s">
        <v>203</v>
      </c>
      <c r="B267" s="1">
        <v>45805</v>
      </c>
      <c r="C267" t="s">
        <v>17</v>
      </c>
      <c r="D267" t="s">
        <v>28</v>
      </c>
      <c r="E267" t="s">
        <v>13</v>
      </c>
      <c r="F267">
        <v>-800</v>
      </c>
      <c r="G267" t="s">
        <v>24</v>
      </c>
      <c r="H267" t="s">
        <v>49</v>
      </c>
      <c r="I267" t="s">
        <v>41</v>
      </c>
      <c r="J267" t="s">
        <v>25</v>
      </c>
    </row>
    <row r="268" spans="1:10" x14ac:dyDescent="0.35">
      <c r="A268" t="s">
        <v>261</v>
      </c>
      <c r="B268" t="s">
        <v>190</v>
      </c>
      <c r="D268" t="s">
        <v>37</v>
      </c>
      <c r="E268" t="s">
        <v>13</v>
      </c>
      <c r="F268">
        <v>49555</v>
      </c>
      <c r="G268">
        <v>95</v>
      </c>
      <c r="H268" t="s">
        <v>49</v>
      </c>
      <c r="I268" t="s">
        <v>14</v>
      </c>
      <c r="J268" t="s">
        <v>20</v>
      </c>
    </row>
    <row r="269" spans="1:10" x14ac:dyDescent="0.35">
      <c r="A269" t="s">
        <v>234</v>
      </c>
      <c r="B269" s="1">
        <v>45660</v>
      </c>
      <c r="C269" t="s">
        <v>48</v>
      </c>
      <c r="D269" t="s">
        <v>64</v>
      </c>
      <c r="E269">
        <v>2500</v>
      </c>
      <c r="F269">
        <v>10624</v>
      </c>
      <c r="G269" t="s">
        <v>24</v>
      </c>
      <c r="H269" t="s">
        <v>70</v>
      </c>
      <c r="I269" t="s">
        <v>44</v>
      </c>
      <c r="J269" t="s">
        <v>74</v>
      </c>
    </row>
    <row r="270" spans="1:10" x14ac:dyDescent="0.35">
      <c r="A270">
        <v>1083</v>
      </c>
      <c r="B270" s="1">
        <v>45806</v>
      </c>
      <c r="C270" t="s">
        <v>36</v>
      </c>
      <c r="D270" t="s">
        <v>28</v>
      </c>
      <c r="E270">
        <v>2500</v>
      </c>
      <c r="F270">
        <v>-800</v>
      </c>
      <c r="G270">
        <v>12</v>
      </c>
      <c r="H270" t="s">
        <v>29</v>
      </c>
      <c r="I270" t="s">
        <v>14</v>
      </c>
      <c r="J270" t="s">
        <v>25</v>
      </c>
    </row>
    <row r="271" spans="1:10" x14ac:dyDescent="0.35">
      <c r="A271" t="s">
        <v>181</v>
      </c>
      <c r="B271" s="1">
        <v>45987</v>
      </c>
      <c r="C271" t="s">
        <v>48</v>
      </c>
      <c r="D271" t="s">
        <v>64</v>
      </c>
      <c r="E271" t="s">
        <v>13</v>
      </c>
      <c r="F271">
        <v>850000</v>
      </c>
      <c r="G271">
        <v>95</v>
      </c>
      <c r="H271" t="s">
        <v>70</v>
      </c>
      <c r="I271" t="s">
        <v>46</v>
      </c>
      <c r="J271" t="s">
        <v>30</v>
      </c>
    </row>
    <row r="272" spans="1:10" x14ac:dyDescent="0.35">
      <c r="A272" t="s">
        <v>333</v>
      </c>
      <c r="B272" s="1">
        <v>45989</v>
      </c>
      <c r="C272" t="s">
        <v>27</v>
      </c>
      <c r="D272" t="s">
        <v>37</v>
      </c>
      <c r="E272" t="s">
        <v>13</v>
      </c>
      <c r="F272" t="s">
        <v>78</v>
      </c>
      <c r="G272">
        <v>12</v>
      </c>
      <c r="H272" t="s">
        <v>67</v>
      </c>
      <c r="I272" t="s">
        <v>14</v>
      </c>
      <c r="J272" t="s">
        <v>74</v>
      </c>
    </row>
    <row r="273" spans="1:10" x14ac:dyDescent="0.35">
      <c r="A273" t="s">
        <v>334</v>
      </c>
      <c r="B273" s="1">
        <v>45948</v>
      </c>
      <c r="C273" t="s">
        <v>11</v>
      </c>
      <c r="D273" t="s">
        <v>32</v>
      </c>
      <c r="E273">
        <v>179</v>
      </c>
      <c r="F273" t="s">
        <v>78</v>
      </c>
      <c r="G273">
        <v>95</v>
      </c>
      <c r="H273" t="s">
        <v>40</v>
      </c>
      <c r="I273" t="s">
        <v>19</v>
      </c>
      <c r="J273" t="s">
        <v>42</v>
      </c>
    </row>
    <row r="274" spans="1:10" x14ac:dyDescent="0.35">
      <c r="A274" t="s">
        <v>335</v>
      </c>
      <c r="B274" t="s">
        <v>35</v>
      </c>
      <c r="C274" t="s">
        <v>36</v>
      </c>
      <c r="D274" t="s">
        <v>64</v>
      </c>
      <c r="E274">
        <v>-12</v>
      </c>
      <c r="F274" t="s">
        <v>78</v>
      </c>
      <c r="G274">
        <v>95</v>
      </c>
      <c r="H274" t="s">
        <v>40</v>
      </c>
      <c r="I274" t="s">
        <v>46</v>
      </c>
      <c r="J274" t="s">
        <v>74</v>
      </c>
    </row>
    <row r="275" spans="1:10" x14ac:dyDescent="0.35">
      <c r="A275" t="s">
        <v>336</v>
      </c>
      <c r="B275" t="s">
        <v>337</v>
      </c>
      <c r="C275" t="s">
        <v>48</v>
      </c>
      <c r="D275" t="s">
        <v>89</v>
      </c>
      <c r="E275" t="s">
        <v>13</v>
      </c>
      <c r="F275">
        <v>9235</v>
      </c>
      <c r="G275" t="s">
        <v>24</v>
      </c>
      <c r="H275" t="s">
        <v>53</v>
      </c>
      <c r="I275" t="s">
        <v>19</v>
      </c>
      <c r="J275" t="s">
        <v>25</v>
      </c>
    </row>
    <row r="276" spans="1:10" x14ac:dyDescent="0.35">
      <c r="A276" t="s">
        <v>26</v>
      </c>
      <c r="B276" s="1">
        <v>45960</v>
      </c>
      <c r="C276" t="s">
        <v>11</v>
      </c>
      <c r="D276" t="s">
        <v>73</v>
      </c>
      <c r="E276" t="s">
        <v>13</v>
      </c>
      <c r="F276" s="2">
        <v>4500</v>
      </c>
      <c r="G276">
        <v>95</v>
      </c>
      <c r="H276" t="s">
        <v>40</v>
      </c>
      <c r="I276" t="s">
        <v>14</v>
      </c>
      <c r="J276" t="s">
        <v>74</v>
      </c>
    </row>
    <row r="277" spans="1:10" x14ac:dyDescent="0.35">
      <c r="A277" t="s">
        <v>338</v>
      </c>
      <c r="B277" t="s">
        <v>262</v>
      </c>
      <c r="C277" t="s">
        <v>76</v>
      </c>
      <c r="D277" t="s">
        <v>12</v>
      </c>
      <c r="E277">
        <v>2500</v>
      </c>
      <c r="F277">
        <v>850000</v>
      </c>
      <c r="G277">
        <v>10</v>
      </c>
      <c r="H277" t="s">
        <v>40</v>
      </c>
      <c r="I277" t="s">
        <v>14</v>
      </c>
      <c r="J277" t="s">
        <v>33</v>
      </c>
    </row>
    <row r="278" spans="1:10" x14ac:dyDescent="0.35">
      <c r="A278" t="s">
        <v>102</v>
      </c>
      <c r="B278" s="1">
        <v>45768</v>
      </c>
      <c r="C278" t="s">
        <v>76</v>
      </c>
      <c r="D278" t="s">
        <v>73</v>
      </c>
      <c r="E278" t="s">
        <v>13</v>
      </c>
      <c r="F278">
        <v>-800</v>
      </c>
      <c r="G278">
        <v>95</v>
      </c>
      <c r="H278" t="s">
        <v>40</v>
      </c>
      <c r="I278" t="s">
        <v>19</v>
      </c>
      <c r="J278" t="s">
        <v>15</v>
      </c>
    </row>
    <row r="279" spans="1:10" x14ac:dyDescent="0.35">
      <c r="A279">
        <v>1176</v>
      </c>
      <c r="B279" s="1">
        <v>45858</v>
      </c>
      <c r="C279" t="s">
        <v>36</v>
      </c>
      <c r="D279" t="s">
        <v>64</v>
      </c>
      <c r="E279">
        <v>2500</v>
      </c>
      <c r="F279">
        <v>850000</v>
      </c>
      <c r="G279">
        <v>95</v>
      </c>
      <c r="H279" t="s">
        <v>18</v>
      </c>
      <c r="I279" t="s">
        <v>14</v>
      </c>
      <c r="J279" t="s">
        <v>20</v>
      </c>
    </row>
    <row r="280" spans="1:10" x14ac:dyDescent="0.35">
      <c r="A280" t="s">
        <v>267</v>
      </c>
      <c r="B280" s="1">
        <v>45985</v>
      </c>
      <c r="C280" t="s">
        <v>36</v>
      </c>
      <c r="D280" t="s">
        <v>28</v>
      </c>
      <c r="E280" t="s">
        <v>13</v>
      </c>
      <c r="F280" s="2">
        <v>4500</v>
      </c>
      <c r="G280">
        <v>95</v>
      </c>
      <c r="H280" t="s">
        <v>49</v>
      </c>
      <c r="I280" t="s">
        <v>46</v>
      </c>
      <c r="J280" t="s">
        <v>25</v>
      </c>
    </row>
    <row r="281" spans="1:10" x14ac:dyDescent="0.35">
      <c r="A281" t="s">
        <v>339</v>
      </c>
      <c r="B281" s="1">
        <v>45955</v>
      </c>
      <c r="C281" t="s">
        <v>23</v>
      </c>
      <c r="D281" t="s">
        <v>39</v>
      </c>
      <c r="E281">
        <v>-12</v>
      </c>
      <c r="F281" t="s">
        <v>78</v>
      </c>
      <c r="G281" t="s">
        <v>24</v>
      </c>
      <c r="H281" t="s">
        <v>67</v>
      </c>
      <c r="I281" t="s">
        <v>44</v>
      </c>
      <c r="J281" t="s">
        <v>42</v>
      </c>
    </row>
    <row r="282" spans="1:10" x14ac:dyDescent="0.35">
      <c r="A282" t="s">
        <v>178</v>
      </c>
      <c r="B282" t="s">
        <v>340</v>
      </c>
      <c r="C282" t="s">
        <v>76</v>
      </c>
      <c r="D282" t="s">
        <v>12</v>
      </c>
      <c r="E282">
        <v>2500</v>
      </c>
      <c r="F282">
        <v>31423</v>
      </c>
      <c r="G282">
        <v>1</v>
      </c>
      <c r="I282" t="s">
        <v>14</v>
      </c>
      <c r="J282" t="s">
        <v>15</v>
      </c>
    </row>
    <row r="283" spans="1:10" x14ac:dyDescent="0.35">
      <c r="A283" t="s">
        <v>165</v>
      </c>
      <c r="B283" t="s">
        <v>295</v>
      </c>
      <c r="C283" t="s">
        <v>36</v>
      </c>
      <c r="D283" t="s">
        <v>28</v>
      </c>
      <c r="E283">
        <v>2500</v>
      </c>
      <c r="F283">
        <v>-800</v>
      </c>
      <c r="G283">
        <v>95</v>
      </c>
      <c r="H283" t="s">
        <v>53</v>
      </c>
      <c r="I283" t="s">
        <v>19</v>
      </c>
      <c r="J283" t="s">
        <v>15</v>
      </c>
    </row>
    <row r="284" spans="1:10" x14ac:dyDescent="0.35">
      <c r="A284" t="s">
        <v>341</v>
      </c>
      <c r="B284" t="s">
        <v>342</v>
      </c>
      <c r="C284" t="s">
        <v>11</v>
      </c>
      <c r="D284" t="s">
        <v>28</v>
      </c>
      <c r="E284" t="s">
        <v>13</v>
      </c>
      <c r="F284">
        <v>850000</v>
      </c>
      <c r="G284" t="s">
        <v>24</v>
      </c>
      <c r="H284" t="s">
        <v>18</v>
      </c>
      <c r="I284" t="s">
        <v>14</v>
      </c>
      <c r="J284" t="s">
        <v>25</v>
      </c>
    </row>
    <row r="285" spans="1:10" x14ac:dyDescent="0.35">
      <c r="A285" t="s">
        <v>343</v>
      </c>
      <c r="B285" t="s">
        <v>344</v>
      </c>
      <c r="C285" t="s">
        <v>11</v>
      </c>
      <c r="D285" t="s">
        <v>73</v>
      </c>
      <c r="E285" t="s">
        <v>13</v>
      </c>
      <c r="F285" s="2">
        <v>4500</v>
      </c>
      <c r="G285" t="s">
        <v>24</v>
      </c>
      <c r="H285" t="s">
        <v>70</v>
      </c>
      <c r="I285" t="s">
        <v>50</v>
      </c>
      <c r="J285" t="s">
        <v>20</v>
      </c>
    </row>
    <row r="286" spans="1:10" x14ac:dyDescent="0.35">
      <c r="A286" t="s">
        <v>225</v>
      </c>
      <c r="B286" s="1">
        <v>45685</v>
      </c>
      <c r="C286" t="s">
        <v>57</v>
      </c>
      <c r="D286" t="s">
        <v>39</v>
      </c>
      <c r="E286">
        <v>11</v>
      </c>
      <c r="F286" s="2">
        <v>4500</v>
      </c>
      <c r="G286">
        <v>95</v>
      </c>
      <c r="H286" t="s">
        <v>70</v>
      </c>
      <c r="I286" t="s">
        <v>14</v>
      </c>
      <c r="J286" t="s">
        <v>74</v>
      </c>
    </row>
    <row r="287" spans="1:10" x14ac:dyDescent="0.35">
      <c r="A287" t="s">
        <v>345</v>
      </c>
      <c r="B287" s="1">
        <v>45777</v>
      </c>
      <c r="C287" t="s">
        <v>11</v>
      </c>
      <c r="D287" t="s">
        <v>89</v>
      </c>
      <c r="E287">
        <v>-12</v>
      </c>
      <c r="F287" s="2">
        <v>4500</v>
      </c>
      <c r="G287">
        <v>9</v>
      </c>
      <c r="H287" t="s">
        <v>49</v>
      </c>
      <c r="I287" t="s">
        <v>14</v>
      </c>
      <c r="J287" t="s">
        <v>15</v>
      </c>
    </row>
    <row r="288" spans="1:10" x14ac:dyDescent="0.35">
      <c r="A288">
        <v>1189</v>
      </c>
      <c r="B288" s="1">
        <v>45741</v>
      </c>
      <c r="C288" t="s">
        <v>27</v>
      </c>
      <c r="D288" t="s">
        <v>32</v>
      </c>
      <c r="E288">
        <v>-12</v>
      </c>
      <c r="F288" s="2">
        <v>4500</v>
      </c>
      <c r="G288">
        <v>6</v>
      </c>
      <c r="H288" t="s">
        <v>40</v>
      </c>
      <c r="I288" t="s">
        <v>46</v>
      </c>
      <c r="J288" t="s">
        <v>74</v>
      </c>
    </row>
    <row r="289" spans="1:10" x14ac:dyDescent="0.35">
      <c r="A289" t="s">
        <v>346</v>
      </c>
      <c r="B289" s="1">
        <v>45688</v>
      </c>
      <c r="C289" t="s">
        <v>48</v>
      </c>
      <c r="D289" t="s">
        <v>32</v>
      </c>
      <c r="E289">
        <v>2500</v>
      </c>
      <c r="F289">
        <v>-800</v>
      </c>
      <c r="G289">
        <v>2</v>
      </c>
      <c r="H289" t="s">
        <v>67</v>
      </c>
      <c r="I289" t="s">
        <v>41</v>
      </c>
      <c r="J289" t="s">
        <v>30</v>
      </c>
    </row>
    <row r="290" spans="1:10" x14ac:dyDescent="0.35">
      <c r="A290" t="s">
        <v>122</v>
      </c>
      <c r="B290" t="s">
        <v>347</v>
      </c>
      <c r="C290" t="s">
        <v>48</v>
      </c>
      <c r="D290" t="s">
        <v>64</v>
      </c>
      <c r="E290">
        <v>10</v>
      </c>
      <c r="F290">
        <v>850000</v>
      </c>
      <c r="G290">
        <v>14</v>
      </c>
      <c r="H290" t="s">
        <v>18</v>
      </c>
      <c r="I290" t="s">
        <v>41</v>
      </c>
      <c r="J290" t="s">
        <v>33</v>
      </c>
    </row>
    <row r="291" spans="1:10" x14ac:dyDescent="0.35">
      <c r="A291" t="s">
        <v>10</v>
      </c>
      <c r="B291" s="1">
        <v>45723</v>
      </c>
      <c r="C291" t="s">
        <v>57</v>
      </c>
      <c r="D291" t="s">
        <v>37</v>
      </c>
      <c r="E291">
        <v>18</v>
      </c>
      <c r="F291">
        <v>29411</v>
      </c>
      <c r="G291">
        <v>6</v>
      </c>
      <c r="H291" t="s">
        <v>67</v>
      </c>
      <c r="I291" t="s">
        <v>44</v>
      </c>
      <c r="J291" t="s">
        <v>74</v>
      </c>
    </row>
    <row r="292" spans="1:10" x14ac:dyDescent="0.35">
      <c r="A292" t="s">
        <v>348</v>
      </c>
      <c r="B292" t="s">
        <v>349</v>
      </c>
      <c r="C292" t="s">
        <v>23</v>
      </c>
      <c r="D292" t="s">
        <v>73</v>
      </c>
      <c r="E292">
        <v>2500</v>
      </c>
      <c r="F292" s="2">
        <v>4500</v>
      </c>
      <c r="G292">
        <v>13</v>
      </c>
      <c r="I292" t="s">
        <v>50</v>
      </c>
      <c r="J292" t="s">
        <v>25</v>
      </c>
    </row>
    <row r="293" spans="1:10" x14ac:dyDescent="0.35">
      <c r="A293" t="s">
        <v>236</v>
      </c>
      <c r="B293" t="s">
        <v>350</v>
      </c>
      <c r="D293" t="s">
        <v>32</v>
      </c>
      <c r="E293" t="s">
        <v>13</v>
      </c>
      <c r="F293">
        <v>-800</v>
      </c>
      <c r="G293" t="s">
        <v>24</v>
      </c>
      <c r="H293" t="s">
        <v>49</v>
      </c>
      <c r="I293" t="s">
        <v>44</v>
      </c>
      <c r="J293" t="s">
        <v>25</v>
      </c>
    </row>
    <row r="294" spans="1:10" x14ac:dyDescent="0.35">
      <c r="A294" t="s">
        <v>351</v>
      </c>
      <c r="B294" s="1">
        <v>45751</v>
      </c>
      <c r="D294" t="s">
        <v>64</v>
      </c>
      <c r="E294" t="s">
        <v>13</v>
      </c>
      <c r="F294">
        <v>46605</v>
      </c>
      <c r="G294">
        <v>95</v>
      </c>
      <c r="H294" t="s">
        <v>49</v>
      </c>
      <c r="I294" t="s">
        <v>50</v>
      </c>
      <c r="J294" t="s">
        <v>30</v>
      </c>
    </row>
    <row r="295" spans="1:10" x14ac:dyDescent="0.35">
      <c r="A295" t="s">
        <v>352</v>
      </c>
      <c r="B295" s="1">
        <v>46007</v>
      </c>
      <c r="C295" t="s">
        <v>76</v>
      </c>
      <c r="D295" t="s">
        <v>89</v>
      </c>
      <c r="E295" t="s">
        <v>13</v>
      </c>
      <c r="F295">
        <v>38968</v>
      </c>
      <c r="G295">
        <v>5</v>
      </c>
      <c r="H295" t="s">
        <v>67</v>
      </c>
      <c r="I295" t="s">
        <v>41</v>
      </c>
      <c r="J295" t="s">
        <v>42</v>
      </c>
    </row>
    <row r="296" spans="1:10" x14ac:dyDescent="0.35">
      <c r="A296" t="s">
        <v>353</v>
      </c>
      <c r="B296" t="s">
        <v>272</v>
      </c>
      <c r="C296" t="s">
        <v>76</v>
      </c>
      <c r="D296" t="s">
        <v>39</v>
      </c>
      <c r="E296" t="s">
        <v>13</v>
      </c>
      <c r="F296" t="s">
        <v>78</v>
      </c>
      <c r="G296">
        <v>95</v>
      </c>
      <c r="H296" t="s">
        <v>40</v>
      </c>
      <c r="I296" t="s">
        <v>46</v>
      </c>
      <c r="J296" t="s">
        <v>74</v>
      </c>
    </row>
    <row r="297" spans="1:10" x14ac:dyDescent="0.35">
      <c r="A297" t="s">
        <v>315</v>
      </c>
      <c r="B297" s="1">
        <v>45820</v>
      </c>
      <c r="C297" t="s">
        <v>17</v>
      </c>
      <c r="D297" t="s">
        <v>37</v>
      </c>
      <c r="E297">
        <v>2500</v>
      </c>
      <c r="F297">
        <v>850000</v>
      </c>
      <c r="G297">
        <v>5</v>
      </c>
      <c r="H297" t="s">
        <v>49</v>
      </c>
      <c r="I297" t="s">
        <v>19</v>
      </c>
      <c r="J297" t="s">
        <v>15</v>
      </c>
    </row>
    <row r="298" spans="1:10" x14ac:dyDescent="0.35">
      <c r="A298" t="s">
        <v>354</v>
      </c>
      <c r="B298" t="s">
        <v>355</v>
      </c>
      <c r="D298" t="s">
        <v>39</v>
      </c>
      <c r="E298">
        <v>21</v>
      </c>
      <c r="F298">
        <v>-800</v>
      </c>
      <c r="G298">
        <v>14</v>
      </c>
      <c r="H298" t="s">
        <v>40</v>
      </c>
      <c r="I298" t="s">
        <v>44</v>
      </c>
      <c r="J298" t="s">
        <v>15</v>
      </c>
    </row>
    <row r="299" spans="1:10" x14ac:dyDescent="0.35">
      <c r="A299" t="s">
        <v>356</v>
      </c>
      <c r="B299" s="1">
        <v>45911</v>
      </c>
      <c r="C299" t="s">
        <v>11</v>
      </c>
      <c r="D299" t="s">
        <v>39</v>
      </c>
      <c r="E299" t="s">
        <v>13</v>
      </c>
      <c r="F299" s="2">
        <v>4500</v>
      </c>
      <c r="G299">
        <v>1</v>
      </c>
      <c r="I299" t="s">
        <v>50</v>
      </c>
      <c r="J299" t="s">
        <v>25</v>
      </c>
    </row>
    <row r="300" spans="1:10" x14ac:dyDescent="0.35">
      <c r="A300" t="s">
        <v>357</v>
      </c>
      <c r="B300" s="1">
        <v>45811</v>
      </c>
      <c r="C300" t="s">
        <v>76</v>
      </c>
      <c r="D300" t="s">
        <v>73</v>
      </c>
      <c r="E300">
        <v>-12</v>
      </c>
      <c r="F300" t="s">
        <v>78</v>
      </c>
      <c r="G300">
        <v>95</v>
      </c>
      <c r="H300" t="s">
        <v>53</v>
      </c>
      <c r="I300" t="s">
        <v>14</v>
      </c>
      <c r="J300" t="s">
        <v>74</v>
      </c>
    </row>
    <row r="301" spans="1:10" x14ac:dyDescent="0.35">
      <c r="A301" t="s">
        <v>237</v>
      </c>
      <c r="B301" s="1">
        <v>45787</v>
      </c>
      <c r="C301" t="s">
        <v>76</v>
      </c>
      <c r="D301" t="s">
        <v>32</v>
      </c>
      <c r="E301">
        <v>2500</v>
      </c>
      <c r="F301">
        <v>-800</v>
      </c>
      <c r="G301" t="s">
        <v>24</v>
      </c>
      <c r="H301" t="s">
        <v>70</v>
      </c>
      <c r="I301" t="s">
        <v>14</v>
      </c>
      <c r="J301" t="s">
        <v>30</v>
      </c>
    </row>
    <row r="302" spans="1:10" x14ac:dyDescent="0.35">
      <c r="A302" t="s">
        <v>358</v>
      </c>
      <c r="B302" s="1">
        <v>45850</v>
      </c>
      <c r="C302" t="s">
        <v>36</v>
      </c>
      <c r="D302" t="s">
        <v>32</v>
      </c>
      <c r="E302">
        <v>-12</v>
      </c>
      <c r="F302" t="s">
        <v>78</v>
      </c>
      <c r="G302">
        <v>95</v>
      </c>
      <c r="H302" t="s">
        <v>70</v>
      </c>
      <c r="I302" t="s">
        <v>46</v>
      </c>
      <c r="J302" t="s">
        <v>25</v>
      </c>
    </row>
    <row r="303" spans="1:10" x14ac:dyDescent="0.35">
      <c r="A303" t="s">
        <v>269</v>
      </c>
      <c r="B303" s="1">
        <v>45970</v>
      </c>
      <c r="C303" t="s">
        <v>23</v>
      </c>
      <c r="D303" t="s">
        <v>89</v>
      </c>
      <c r="E303">
        <v>141</v>
      </c>
      <c r="F303" s="2">
        <v>4500</v>
      </c>
      <c r="G303" t="s">
        <v>24</v>
      </c>
      <c r="H303" t="s">
        <v>70</v>
      </c>
      <c r="I303" t="s">
        <v>44</v>
      </c>
      <c r="J303" t="s">
        <v>30</v>
      </c>
    </row>
    <row r="304" spans="1:10" x14ac:dyDescent="0.35">
      <c r="A304" t="s">
        <v>359</v>
      </c>
      <c r="B304" s="1">
        <v>45990</v>
      </c>
      <c r="C304" t="s">
        <v>36</v>
      </c>
      <c r="D304" t="s">
        <v>32</v>
      </c>
      <c r="E304">
        <v>-12</v>
      </c>
      <c r="F304">
        <v>850000</v>
      </c>
      <c r="G304">
        <v>13</v>
      </c>
      <c r="H304" t="s">
        <v>18</v>
      </c>
      <c r="I304" t="s">
        <v>19</v>
      </c>
      <c r="J304" t="s">
        <v>33</v>
      </c>
    </row>
    <row r="305" spans="1:10" x14ac:dyDescent="0.35">
      <c r="A305" t="s">
        <v>334</v>
      </c>
      <c r="B305" s="1">
        <v>45678</v>
      </c>
      <c r="C305" t="s">
        <v>76</v>
      </c>
      <c r="D305" t="s">
        <v>73</v>
      </c>
      <c r="E305">
        <v>2500</v>
      </c>
      <c r="F305" s="2">
        <v>4500</v>
      </c>
      <c r="G305">
        <v>95</v>
      </c>
      <c r="I305" t="s">
        <v>41</v>
      </c>
      <c r="J305" t="s">
        <v>20</v>
      </c>
    </row>
    <row r="306" spans="1:10" x14ac:dyDescent="0.35">
      <c r="A306" t="s">
        <v>360</v>
      </c>
      <c r="B306" s="1">
        <v>45787</v>
      </c>
      <c r="C306" t="s">
        <v>11</v>
      </c>
      <c r="D306" t="s">
        <v>73</v>
      </c>
      <c r="E306">
        <v>7</v>
      </c>
      <c r="F306" t="s">
        <v>78</v>
      </c>
      <c r="G306">
        <v>95</v>
      </c>
      <c r="H306" t="s">
        <v>67</v>
      </c>
      <c r="I306" t="s">
        <v>44</v>
      </c>
      <c r="J306" t="s">
        <v>15</v>
      </c>
    </row>
    <row r="307" spans="1:10" x14ac:dyDescent="0.35">
      <c r="A307" t="s">
        <v>345</v>
      </c>
      <c r="B307" s="1">
        <v>45857</v>
      </c>
      <c r="C307" t="s">
        <v>48</v>
      </c>
      <c r="D307" t="s">
        <v>89</v>
      </c>
      <c r="E307">
        <v>2500</v>
      </c>
      <c r="F307" s="2">
        <v>4500</v>
      </c>
      <c r="G307">
        <v>11</v>
      </c>
      <c r="H307" t="s">
        <v>53</v>
      </c>
      <c r="I307" t="s">
        <v>41</v>
      </c>
      <c r="J307" t="s">
        <v>74</v>
      </c>
    </row>
    <row r="308" spans="1:10" x14ac:dyDescent="0.35">
      <c r="A308" t="s">
        <v>311</v>
      </c>
      <c r="B308" s="1">
        <v>45820</v>
      </c>
      <c r="C308" t="s">
        <v>27</v>
      </c>
      <c r="D308" t="s">
        <v>32</v>
      </c>
      <c r="E308">
        <v>2500</v>
      </c>
      <c r="F308" s="2">
        <v>4500</v>
      </c>
      <c r="G308" t="s">
        <v>24</v>
      </c>
      <c r="H308" t="s">
        <v>18</v>
      </c>
      <c r="I308" t="s">
        <v>41</v>
      </c>
      <c r="J308" t="s">
        <v>20</v>
      </c>
    </row>
    <row r="309" spans="1:10" x14ac:dyDescent="0.35">
      <c r="A309" t="s">
        <v>286</v>
      </c>
      <c r="B309" t="s">
        <v>361</v>
      </c>
      <c r="C309" t="s">
        <v>36</v>
      </c>
      <c r="D309" t="s">
        <v>73</v>
      </c>
      <c r="E309">
        <v>2500</v>
      </c>
      <c r="F309" t="s">
        <v>78</v>
      </c>
      <c r="G309" t="s">
        <v>24</v>
      </c>
      <c r="H309" t="s">
        <v>49</v>
      </c>
      <c r="I309" t="s">
        <v>50</v>
      </c>
      <c r="J309" t="s">
        <v>42</v>
      </c>
    </row>
    <row r="310" spans="1:10" x14ac:dyDescent="0.35">
      <c r="A310" t="s">
        <v>291</v>
      </c>
      <c r="B310" t="s">
        <v>362</v>
      </c>
      <c r="C310" t="s">
        <v>23</v>
      </c>
      <c r="D310" t="s">
        <v>89</v>
      </c>
      <c r="E310">
        <v>2500</v>
      </c>
      <c r="F310">
        <v>-800</v>
      </c>
      <c r="G310">
        <v>95</v>
      </c>
      <c r="H310" t="s">
        <v>49</v>
      </c>
      <c r="I310" t="s">
        <v>44</v>
      </c>
      <c r="J310" t="s">
        <v>42</v>
      </c>
    </row>
    <row r="311" spans="1:10" x14ac:dyDescent="0.35">
      <c r="A311" t="s">
        <v>345</v>
      </c>
      <c r="B311" s="1">
        <v>45845</v>
      </c>
      <c r="C311" t="s">
        <v>76</v>
      </c>
      <c r="D311" t="s">
        <v>12</v>
      </c>
      <c r="E311">
        <v>2500</v>
      </c>
      <c r="F311" s="2">
        <v>4500</v>
      </c>
      <c r="G311">
        <v>95</v>
      </c>
      <c r="H311" t="s">
        <v>70</v>
      </c>
      <c r="I311" t="s">
        <v>46</v>
      </c>
      <c r="J311" t="s">
        <v>33</v>
      </c>
    </row>
    <row r="312" spans="1:10" x14ac:dyDescent="0.35">
      <c r="A312" t="s">
        <v>363</v>
      </c>
      <c r="B312" s="1">
        <v>45695</v>
      </c>
      <c r="C312" t="s">
        <v>23</v>
      </c>
      <c r="D312" t="s">
        <v>73</v>
      </c>
      <c r="E312">
        <v>-12</v>
      </c>
      <c r="F312">
        <v>-800</v>
      </c>
      <c r="G312">
        <v>9</v>
      </c>
      <c r="H312" t="s">
        <v>29</v>
      </c>
      <c r="I312" t="s">
        <v>50</v>
      </c>
      <c r="J312" t="s">
        <v>33</v>
      </c>
    </row>
    <row r="313" spans="1:10" x14ac:dyDescent="0.35">
      <c r="A313" t="s">
        <v>274</v>
      </c>
      <c r="B313" s="1">
        <v>45980</v>
      </c>
      <c r="C313" t="s">
        <v>23</v>
      </c>
      <c r="D313" t="s">
        <v>32</v>
      </c>
      <c r="E313" t="s">
        <v>13</v>
      </c>
      <c r="F313" t="s">
        <v>78</v>
      </c>
      <c r="G313" t="s">
        <v>24</v>
      </c>
      <c r="H313" t="s">
        <v>70</v>
      </c>
      <c r="I313" t="s">
        <v>50</v>
      </c>
      <c r="J313" t="s">
        <v>30</v>
      </c>
    </row>
    <row r="314" spans="1:10" x14ac:dyDescent="0.35">
      <c r="A314" t="s">
        <v>197</v>
      </c>
      <c r="B314" s="1">
        <v>46003</v>
      </c>
      <c r="C314" t="s">
        <v>27</v>
      </c>
      <c r="D314" t="s">
        <v>89</v>
      </c>
      <c r="E314">
        <v>2500</v>
      </c>
      <c r="F314">
        <v>-800</v>
      </c>
      <c r="G314" t="s">
        <v>24</v>
      </c>
      <c r="H314" t="s">
        <v>70</v>
      </c>
      <c r="I314" t="s">
        <v>44</v>
      </c>
      <c r="J314" t="s">
        <v>15</v>
      </c>
    </row>
    <row r="315" spans="1:10" x14ac:dyDescent="0.35">
      <c r="A315" t="s">
        <v>364</v>
      </c>
      <c r="B315" t="s">
        <v>365</v>
      </c>
      <c r="C315" t="s">
        <v>36</v>
      </c>
      <c r="D315" t="s">
        <v>89</v>
      </c>
      <c r="E315" t="s">
        <v>13</v>
      </c>
      <c r="F315">
        <v>-800</v>
      </c>
      <c r="G315">
        <v>95</v>
      </c>
      <c r="H315" t="s">
        <v>53</v>
      </c>
      <c r="I315" t="s">
        <v>46</v>
      </c>
      <c r="J315" t="s">
        <v>25</v>
      </c>
    </row>
    <row r="316" spans="1:10" x14ac:dyDescent="0.35">
      <c r="A316" t="s">
        <v>366</v>
      </c>
      <c r="B316" s="1">
        <v>45945</v>
      </c>
      <c r="C316" t="s">
        <v>57</v>
      </c>
      <c r="D316" t="s">
        <v>28</v>
      </c>
      <c r="E316" t="s">
        <v>13</v>
      </c>
      <c r="F316">
        <v>21399</v>
      </c>
      <c r="G316">
        <v>95</v>
      </c>
      <c r="H316" t="s">
        <v>18</v>
      </c>
      <c r="I316" t="s">
        <v>46</v>
      </c>
      <c r="J316" t="s">
        <v>42</v>
      </c>
    </row>
    <row r="317" spans="1:10" x14ac:dyDescent="0.35">
      <c r="A317" t="s">
        <v>279</v>
      </c>
      <c r="B317" t="s">
        <v>289</v>
      </c>
      <c r="C317" t="s">
        <v>76</v>
      </c>
      <c r="D317" t="s">
        <v>37</v>
      </c>
      <c r="E317">
        <v>2500</v>
      </c>
      <c r="F317" s="2">
        <v>4500</v>
      </c>
      <c r="G317">
        <v>95</v>
      </c>
      <c r="H317" t="s">
        <v>67</v>
      </c>
      <c r="I317" t="s">
        <v>19</v>
      </c>
      <c r="J317" t="s">
        <v>25</v>
      </c>
    </row>
    <row r="318" spans="1:10" x14ac:dyDescent="0.35">
      <c r="A318" t="s">
        <v>367</v>
      </c>
      <c r="B318" t="s">
        <v>368</v>
      </c>
      <c r="C318" t="s">
        <v>23</v>
      </c>
      <c r="D318" t="s">
        <v>28</v>
      </c>
      <c r="E318">
        <v>-12</v>
      </c>
      <c r="F318">
        <v>40264</v>
      </c>
      <c r="G318">
        <v>7</v>
      </c>
      <c r="H318" t="s">
        <v>49</v>
      </c>
      <c r="I318" t="s">
        <v>14</v>
      </c>
      <c r="J318" t="s">
        <v>42</v>
      </c>
    </row>
    <row r="319" spans="1:10" x14ac:dyDescent="0.35">
      <c r="A319" t="s">
        <v>369</v>
      </c>
      <c r="B319" s="1">
        <v>45958</v>
      </c>
      <c r="C319" t="s">
        <v>23</v>
      </c>
      <c r="D319" t="s">
        <v>12</v>
      </c>
      <c r="E319" t="s">
        <v>13</v>
      </c>
      <c r="F319">
        <v>30052</v>
      </c>
      <c r="G319" t="s">
        <v>24</v>
      </c>
      <c r="H319" t="s">
        <v>29</v>
      </c>
      <c r="I319" t="s">
        <v>50</v>
      </c>
      <c r="J319" t="s">
        <v>25</v>
      </c>
    </row>
    <row r="320" spans="1:10" x14ac:dyDescent="0.35">
      <c r="A320" t="s">
        <v>167</v>
      </c>
      <c r="B320" s="1">
        <v>45704</v>
      </c>
      <c r="C320" t="s">
        <v>23</v>
      </c>
      <c r="D320" t="s">
        <v>64</v>
      </c>
      <c r="E320">
        <v>-12</v>
      </c>
      <c r="F320">
        <v>850000</v>
      </c>
      <c r="G320">
        <v>7</v>
      </c>
      <c r="I320" t="s">
        <v>41</v>
      </c>
      <c r="J320" t="s">
        <v>74</v>
      </c>
    </row>
    <row r="321" spans="1:10" x14ac:dyDescent="0.35">
      <c r="A321" t="s">
        <v>370</v>
      </c>
      <c r="B321" s="1">
        <v>45899</v>
      </c>
      <c r="C321" t="s">
        <v>23</v>
      </c>
      <c r="D321" t="s">
        <v>73</v>
      </c>
      <c r="E321">
        <v>2500</v>
      </c>
      <c r="F321" s="2">
        <v>4500</v>
      </c>
      <c r="G321">
        <v>2</v>
      </c>
      <c r="H321" t="s">
        <v>18</v>
      </c>
      <c r="I321" t="s">
        <v>14</v>
      </c>
      <c r="J321" t="s">
        <v>30</v>
      </c>
    </row>
    <row r="322" spans="1:10" x14ac:dyDescent="0.35">
      <c r="A322" t="s">
        <v>147</v>
      </c>
      <c r="B322" s="1">
        <v>45920</v>
      </c>
      <c r="C322" t="s">
        <v>36</v>
      </c>
      <c r="D322" t="s">
        <v>28</v>
      </c>
      <c r="E322">
        <v>2500</v>
      </c>
      <c r="F322" t="s">
        <v>78</v>
      </c>
      <c r="G322">
        <v>7</v>
      </c>
      <c r="H322" t="s">
        <v>53</v>
      </c>
      <c r="I322" t="s">
        <v>44</v>
      </c>
      <c r="J322" t="s">
        <v>33</v>
      </c>
    </row>
    <row r="323" spans="1:10" x14ac:dyDescent="0.35">
      <c r="A323" t="s">
        <v>371</v>
      </c>
      <c r="B323" s="1">
        <v>45806</v>
      </c>
      <c r="D323" t="s">
        <v>28</v>
      </c>
      <c r="E323">
        <v>160</v>
      </c>
      <c r="F323">
        <v>-800</v>
      </c>
      <c r="G323">
        <v>95</v>
      </c>
      <c r="H323" t="s">
        <v>29</v>
      </c>
      <c r="I323" t="s">
        <v>14</v>
      </c>
      <c r="J323" t="s">
        <v>25</v>
      </c>
    </row>
    <row r="324" spans="1:10" x14ac:dyDescent="0.35">
      <c r="A324" t="s">
        <v>61</v>
      </c>
      <c r="B324" t="s">
        <v>372</v>
      </c>
      <c r="C324" t="s">
        <v>17</v>
      </c>
      <c r="D324" t="s">
        <v>73</v>
      </c>
      <c r="E324">
        <v>80</v>
      </c>
      <c r="F324">
        <v>-800</v>
      </c>
      <c r="G324" t="s">
        <v>24</v>
      </c>
      <c r="H324" t="s">
        <v>70</v>
      </c>
      <c r="I324" t="s">
        <v>19</v>
      </c>
      <c r="J324" t="s">
        <v>15</v>
      </c>
    </row>
    <row r="325" spans="1:10" x14ac:dyDescent="0.35">
      <c r="A325" t="s">
        <v>373</v>
      </c>
      <c r="B325" s="1">
        <v>46011</v>
      </c>
      <c r="C325" t="s">
        <v>11</v>
      </c>
      <c r="D325" t="s">
        <v>12</v>
      </c>
      <c r="E325" t="s">
        <v>13</v>
      </c>
      <c r="F325" t="s">
        <v>78</v>
      </c>
      <c r="G325">
        <v>95</v>
      </c>
      <c r="H325" t="s">
        <v>53</v>
      </c>
      <c r="I325" t="s">
        <v>19</v>
      </c>
      <c r="J325" t="s">
        <v>42</v>
      </c>
    </row>
    <row r="326" spans="1:10" x14ac:dyDescent="0.35">
      <c r="A326" t="s">
        <v>195</v>
      </c>
      <c r="B326" t="s">
        <v>374</v>
      </c>
      <c r="C326" t="s">
        <v>23</v>
      </c>
      <c r="D326" t="s">
        <v>89</v>
      </c>
      <c r="E326">
        <v>2500</v>
      </c>
      <c r="F326" s="2">
        <v>4500</v>
      </c>
      <c r="G326" t="s">
        <v>24</v>
      </c>
      <c r="H326" t="s">
        <v>53</v>
      </c>
      <c r="I326" t="s">
        <v>19</v>
      </c>
      <c r="J326" t="s">
        <v>15</v>
      </c>
    </row>
    <row r="327" spans="1:10" x14ac:dyDescent="0.35">
      <c r="A327">
        <v>1296</v>
      </c>
      <c r="B327" t="s">
        <v>375</v>
      </c>
      <c r="C327" t="s">
        <v>36</v>
      </c>
      <c r="D327" t="s">
        <v>12</v>
      </c>
      <c r="E327">
        <v>2500</v>
      </c>
      <c r="F327">
        <v>850000</v>
      </c>
      <c r="G327" t="s">
        <v>24</v>
      </c>
      <c r="H327" t="s">
        <v>40</v>
      </c>
      <c r="I327" t="s">
        <v>19</v>
      </c>
      <c r="J327" t="s">
        <v>20</v>
      </c>
    </row>
    <row r="328" spans="1:10" x14ac:dyDescent="0.35">
      <c r="A328" t="s">
        <v>322</v>
      </c>
      <c r="B328" s="1">
        <v>45928</v>
      </c>
      <c r="C328" t="s">
        <v>76</v>
      </c>
      <c r="D328" t="s">
        <v>64</v>
      </c>
      <c r="E328" t="s">
        <v>13</v>
      </c>
      <c r="F328">
        <v>850000</v>
      </c>
      <c r="G328">
        <v>4</v>
      </c>
      <c r="H328" t="s">
        <v>29</v>
      </c>
      <c r="I328" t="s">
        <v>50</v>
      </c>
      <c r="J328" t="s">
        <v>25</v>
      </c>
    </row>
    <row r="329" spans="1:10" x14ac:dyDescent="0.35">
      <c r="A329" t="s">
        <v>376</v>
      </c>
      <c r="B329" s="1">
        <v>45960</v>
      </c>
      <c r="D329" t="s">
        <v>37</v>
      </c>
      <c r="E329">
        <v>104</v>
      </c>
      <c r="F329">
        <v>-800</v>
      </c>
      <c r="G329" t="s">
        <v>24</v>
      </c>
      <c r="H329" t="s">
        <v>29</v>
      </c>
      <c r="I329" t="s">
        <v>46</v>
      </c>
      <c r="J329" t="s">
        <v>15</v>
      </c>
    </row>
    <row r="330" spans="1:10" x14ac:dyDescent="0.35">
      <c r="A330" t="s">
        <v>358</v>
      </c>
      <c r="B330" t="s">
        <v>377</v>
      </c>
      <c r="D330" t="s">
        <v>73</v>
      </c>
      <c r="E330">
        <v>124</v>
      </c>
      <c r="F330" s="2">
        <v>4500</v>
      </c>
      <c r="G330">
        <v>7</v>
      </c>
      <c r="H330" t="s">
        <v>53</v>
      </c>
      <c r="I330" t="s">
        <v>50</v>
      </c>
      <c r="J330" t="s">
        <v>30</v>
      </c>
    </row>
    <row r="331" spans="1:10" x14ac:dyDescent="0.35">
      <c r="A331" t="s">
        <v>142</v>
      </c>
      <c r="B331" t="s">
        <v>378</v>
      </c>
      <c r="C331" t="s">
        <v>76</v>
      </c>
      <c r="D331" t="s">
        <v>73</v>
      </c>
      <c r="E331">
        <v>-12</v>
      </c>
      <c r="F331">
        <v>850000</v>
      </c>
      <c r="G331" t="s">
        <v>24</v>
      </c>
      <c r="H331" t="s">
        <v>49</v>
      </c>
      <c r="I331" t="s">
        <v>14</v>
      </c>
      <c r="J331" t="s">
        <v>30</v>
      </c>
    </row>
    <row r="332" spans="1:10" x14ac:dyDescent="0.35">
      <c r="A332" t="s">
        <v>379</v>
      </c>
      <c r="B332" t="s">
        <v>259</v>
      </c>
      <c r="C332" t="s">
        <v>76</v>
      </c>
      <c r="D332" t="s">
        <v>64</v>
      </c>
      <c r="E332" t="s">
        <v>13</v>
      </c>
      <c r="F332" s="2">
        <v>4500</v>
      </c>
      <c r="G332">
        <v>10</v>
      </c>
      <c r="H332" t="s">
        <v>40</v>
      </c>
      <c r="I332" t="s">
        <v>19</v>
      </c>
      <c r="J332" t="s">
        <v>20</v>
      </c>
    </row>
    <row r="333" spans="1:10" x14ac:dyDescent="0.35">
      <c r="A333" t="s">
        <v>212</v>
      </c>
      <c r="B333" t="s">
        <v>380</v>
      </c>
      <c r="C333" t="s">
        <v>36</v>
      </c>
      <c r="D333" t="s">
        <v>32</v>
      </c>
      <c r="E333">
        <v>2500</v>
      </c>
      <c r="F333" s="2">
        <v>4500</v>
      </c>
      <c r="G333" t="s">
        <v>24</v>
      </c>
      <c r="H333" t="s">
        <v>29</v>
      </c>
      <c r="I333" t="s">
        <v>50</v>
      </c>
      <c r="J333" t="s">
        <v>20</v>
      </c>
    </row>
    <row r="334" spans="1:10" x14ac:dyDescent="0.35">
      <c r="A334" t="s">
        <v>354</v>
      </c>
      <c r="B334" s="1">
        <v>45941</v>
      </c>
      <c r="C334" t="s">
        <v>57</v>
      </c>
      <c r="D334" t="s">
        <v>37</v>
      </c>
      <c r="E334">
        <v>2500</v>
      </c>
      <c r="F334">
        <v>850000</v>
      </c>
      <c r="G334">
        <v>10</v>
      </c>
      <c r="H334" t="s">
        <v>40</v>
      </c>
      <c r="I334" t="s">
        <v>44</v>
      </c>
      <c r="J334" t="s">
        <v>74</v>
      </c>
    </row>
    <row r="335" spans="1:10" x14ac:dyDescent="0.35">
      <c r="A335" t="s">
        <v>234</v>
      </c>
      <c r="B335" s="1">
        <v>45925</v>
      </c>
      <c r="C335" t="s">
        <v>48</v>
      </c>
      <c r="D335" t="s">
        <v>39</v>
      </c>
      <c r="E335" t="s">
        <v>13</v>
      </c>
      <c r="F335" s="2">
        <v>4500</v>
      </c>
      <c r="G335" t="s">
        <v>24</v>
      </c>
      <c r="H335" t="s">
        <v>18</v>
      </c>
      <c r="I335" t="s">
        <v>41</v>
      </c>
      <c r="J335" t="s">
        <v>15</v>
      </c>
    </row>
    <row r="336" spans="1:10" x14ac:dyDescent="0.35">
      <c r="A336" t="s">
        <v>381</v>
      </c>
      <c r="B336" t="s">
        <v>365</v>
      </c>
      <c r="C336" t="s">
        <v>23</v>
      </c>
      <c r="D336" t="s">
        <v>28</v>
      </c>
      <c r="E336">
        <v>-12</v>
      </c>
      <c r="F336" s="2">
        <v>4500</v>
      </c>
      <c r="G336">
        <v>95</v>
      </c>
      <c r="H336" t="s">
        <v>49</v>
      </c>
      <c r="I336" t="s">
        <v>50</v>
      </c>
      <c r="J336" t="s">
        <v>74</v>
      </c>
    </row>
    <row r="337" spans="1:10" x14ac:dyDescent="0.35">
      <c r="A337" t="s">
        <v>90</v>
      </c>
      <c r="B337" t="s">
        <v>382</v>
      </c>
      <c r="C337" t="s">
        <v>17</v>
      </c>
      <c r="D337" t="s">
        <v>89</v>
      </c>
      <c r="E337">
        <v>187</v>
      </c>
      <c r="F337" s="2">
        <v>4500</v>
      </c>
      <c r="G337" t="s">
        <v>24</v>
      </c>
      <c r="H337" t="s">
        <v>67</v>
      </c>
      <c r="I337" t="s">
        <v>14</v>
      </c>
      <c r="J337" t="s">
        <v>20</v>
      </c>
    </row>
    <row r="338" spans="1:10" x14ac:dyDescent="0.35">
      <c r="A338" t="s">
        <v>351</v>
      </c>
      <c r="B338" t="s">
        <v>383</v>
      </c>
      <c r="C338" t="s">
        <v>48</v>
      </c>
      <c r="D338" t="s">
        <v>12</v>
      </c>
      <c r="E338" t="s">
        <v>13</v>
      </c>
      <c r="F338">
        <v>-800</v>
      </c>
      <c r="G338">
        <v>13</v>
      </c>
      <c r="I338" t="s">
        <v>19</v>
      </c>
      <c r="J338" t="s">
        <v>30</v>
      </c>
    </row>
    <row r="339" spans="1:10" x14ac:dyDescent="0.35">
      <c r="A339" t="s">
        <v>384</v>
      </c>
      <c r="B339" t="s">
        <v>385</v>
      </c>
      <c r="C339" t="s">
        <v>17</v>
      </c>
      <c r="D339" t="s">
        <v>12</v>
      </c>
      <c r="E339" t="s">
        <v>13</v>
      </c>
      <c r="F339">
        <v>29641</v>
      </c>
      <c r="G339" t="s">
        <v>24</v>
      </c>
      <c r="H339" t="s">
        <v>49</v>
      </c>
      <c r="I339" t="s">
        <v>41</v>
      </c>
      <c r="J339" t="s">
        <v>74</v>
      </c>
    </row>
    <row r="340" spans="1:10" x14ac:dyDescent="0.35">
      <c r="A340" t="s">
        <v>92</v>
      </c>
      <c r="B340" s="1">
        <v>45989</v>
      </c>
      <c r="C340" t="s">
        <v>76</v>
      </c>
      <c r="D340" t="s">
        <v>32</v>
      </c>
      <c r="E340">
        <v>6</v>
      </c>
      <c r="F340" s="2">
        <v>4500</v>
      </c>
      <c r="G340">
        <v>95</v>
      </c>
      <c r="H340" t="s">
        <v>49</v>
      </c>
      <c r="I340" t="s">
        <v>19</v>
      </c>
      <c r="J340" t="s">
        <v>74</v>
      </c>
    </row>
    <row r="341" spans="1:10" x14ac:dyDescent="0.35">
      <c r="A341" t="s">
        <v>311</v>
      </c>
      <c r="B341" s="1">
        <v>45786</v>
      </c>
      <c r="C341" t="s">
        <v>48</v>
      </c>
      <c r="D341" t="s">
        <v>73</v>
      </c>
      <c r="E341" t="s">
        <v>13</v>
      </c>
      <c r="F341">
        <v>35191</v>
      </c>
      <c r="G341" t="s">
        <v>24</v>
      </c>
      <c r="H341" t="s">
        <v>70</v>
      </c>
      <c r="I341" t="s">
        <v>44</v>
      </c>
      <c r="J341" t="s">
        <v>15</v>
      </c>
    </row>
    <row r="342" spans="1:10" x14ac:dyDescent="0.35">
      <c r="A342" t="s">
        <v>222</v>
      </c>
      <c r="B342" s="1">
        <v>45877</v>
      </c>
      <c r="C342" t="s">
        <v>76</v>
      </c>
      <c r="D342" t="s">
        <v>37</v>
      </c>
      <c r="E342">
        <v>-12</v>
      </c>
      <c r="F342" s="2">
        <v>4500</v>
      </c>
      <c r="G342" t="s">
        <v>24</v>
      </c>
      <c r="H342" t="s">
        <v>70</v>
      </c>
      <c r="I342" t="s">
        <v>19</v>
      </c>
      <c r="J342" t="s">
        <v>30</v>
      </c>
    </row>
    <row r="343" spans="1:10" x14ac:dyDescent="0.35">
      <c r="A343" t="s">
        <v>52</v>
      </c>
      <c r="B343" s="1">
        <v>45909</v>
      </c>
      <c r="C343" t="s">
        <v>11</v>
      </c>
      <c r="D343" t="s">
        <v>89</v>
      </c>
      <c r="E343">
        <v>102</v>
      </c>
      <c r="F343">
        <v>20113</v>
      </c>
      <c r="G343">
        <v>2</v>
      </c>
      <c r="H343" t="s">
        <v>49</v>
      </c>
      <c r="I343" t="s">
        <v>14</v>
      </c>
      <c r="J343" t="s">
        <v>30</v>
      </c>
    </row>
    <row r="344" spans="1:10" x14ac:dyDescent="0.35">
      <c r="A344" t="s">
        <v>288</v>
      </c>
      <c r="B344" s="1">
        <v>45969</v>
      </c>
      <c r="C344" t="s">
        <v>11</v>
      </c>
      <c r="D344" t="s">
        <v>12</v>
      </c>
      <c r="E344">
        <v>-12</v>
      </c>
      <c r="F344">
        <v>-800</v>
      </c>
      <c r="G344" t="s">
        <v>24</v>
      </c>
      <c r="I344" t="s">
        <v>44</v>
      </c>
      <c r="J344" t="s">
        <v>30</v>
      </c>
    </row>
    <row r="345" spans="1:10" x14ac:dyDescent="0.35">
      <c r="A345" t="s">
        <v>21</v>
      </c>
      <c r="B345" t="s">
        <v>31</v>
      </c>
      <c r="C345" t="s">
        <v>36</v>
      </c>
      <c r="D345" t="s">
        <v>28</v>
      </c>
      <c r="E345">
        <v>2500</v>
      </c>
      <c r="F345">
        <v>12970</v>
      </c>
      <c r="G345">
        <v>12</v>
      </c>
      <c r="H345" t="s">
        <v>18</v>
      </c>
      <c r="I345" t="s">
        <v>14</v>
      </c>
      <c r="J345" t="s">
        <v>33</v>
      </c>
    </row>
    <row r="346" spans="1:10" x14ac:dyDescent="0.35">
      <c r="A346" t="s">
        <v>386</v>
      </c>
      <c r="B346" s="1">
        <v>45760</v>
      </c>
      <c r="C346" t="s">
        <v>57</v>
      </c>
      <c r="D346" t="s">
        <v>32</v>
      </c>
      <c r="E346" t="s">
        <v>13</v>
      </c>
      <c r="F346" s="2">
        <v>4500</v>
      </c>
      <c r="G346">
        <v>6</v>
      </c>
      <c r="H346" t="s">
        <v>67</v>
      </c>
      <c r="I346" t="s">
        <v>46</v>
      </c>
      <c r="J346" t="s">
        <v>25</v>
      </c>
    </row>
    <row r="347" spans="1:10" x14ac:dyDescent="0.35">
      <c r="A347" t="s">
        <v>232</v>
      </c>
      <c r="B347" t="s">
        <v>387</v>
      </c>
      <c r="C347" t="s">
        <v>48</v>
      </c>
      <c r="D347" t="s">
        <v>73</v>
      </c>
      <c r="E347">
        <v>-12</v>
      </c>
      <c r="F347" s="2">
        <v>4500</v>
      </c>
      <c r="G347">
        <v>95</v>
      </c>
      <c r="H347" t="s">
        <v>40</v>
      </c>
      <c r="I347" t="s">
        <v>44</v>
      </c>
      <c r="J347" t="s">
        <v>15</v>
      </c>
    </row>
    <row r="348" spans="1:10" x14ac:dyDescent="0.35">
      <c r="A348" t="s">
        <v>114</v>
      </c>
      <c r="B348" t="s">
        <v>388</v>
      </c>
      <c r="C348" t="s">
        <v>57</v>
      </c>
      <c r="D348" t="s">
        <v>89</v>
      </c>
      <c r="E348">
        <v>2500</v>
      </c>
      <c r="F348">
        <v>850000</v>
      </c>
      <c r="G348" t="s">
        <v>24</v>
      </c>
      <c r="H348" t="s">
        <v>49</v>
      </c>
      <c r="I348" t="s">
        <v>50</v>
      </c>
      <c r="J348" t="s">
        <v>30</v>
      </c>
    </row>
    <row r="349" spans="1:10" x14ac:dyDescent="0.35">
      <c r="A349" t="s">
        <v>299</v>
      </c>
      <c r="B349" t="s">
        <v>389</v>
      </c>
      <c r="C349" t="s">
        <v>76</v>
      </c>
      <c r="D349" t="s">
        <v>89</v>
      </c>
      <c r="E349">
        <v>2500</v>
      </c>
      <c r="F349">
        <v>34868</v>
      </c>
      <c r="G349" t="s">
        <v>24</v>
      </c>
      <c r="H349" t="s">
        <v>67</v>
      </c>
      <c r="I349" t="s">
        <v>50</v>
      </c>
      <c r="J349" t="s">
        <v>20</v>
      </c>
    </row>
    <row r="350" spans="1:10" x14ac:dyDescent="0.35">
      <c r="A350" t="s">
        <v>288</v>
      </c>
      <c r="B350" s="1">
        <v>45717</v>
      </c>
      <c r="C350" t="s">
        <v>36</v>
      </c>
      <c r="D350" t="s">
        <v>12</v>
      </c>
      <c r="E350">
        <v>62</v>
      </c>
      <c r="F350">
        <v>47436</v>
      </c>
      <c r="G350" t="s">
        <v>24</v>
      </c>
      <c r="I350" t="s">
        <v>44</v>
      </c>
      <c r="J350" t="s">
        <v>15</v>
      </c>
    </row>
    <row r="351" spans="1:10" x14ac:dyDescent="0.35">
      <c r="A351" t="s">
        <v>390</v>
      </c>
      <c r="B351" t="s">
        <v>391</v>
      </c>
      <c r="C351" t="s">
        <v>36</v>
      </c>
      <c r="D351" t="s">
        <v>32</v>
      </c>
      <c r="E351">
        <v>2500</v>
      </c>
      <c r="F351" t="s">
        <v>78</v>
      </c>
      <c r="G351">
        <v>95</v>
      </c>
      <c r="H351" t="s">
        <v>29</v>
      </c>
      <c r="I351" t="s">
        <v>19</v>
      </c>
      <c r="J351" t="s">
        <v>25</v>
      </c>
    </row>
    <row r="352" spans="1:10" x14ac:dyDescent="0.35">
      <c r="A352" t="s">
        <v>214</v>
      </c>
      <c r="B352" s="1">
        <v>45820</v>
      </c>
      <c r="C352" t="s">
        <v>76</v>
      </c>
      <c r="D352" t="s">
        <v>32</v>
      </c>
      <c r="E352">
        <v>34</v>
      </c>
      <c r="F352">
        <v>-800</v>
      </c>
      <c r="G352">
        <v>95</v>
      </c>
      <c r="H352" t="s">
        <v>67</v>
      </c>
      <c r="I352" t="s">
        <v>14</v>
      </c>
      <c r="J352" t="s">
        <v>74</v>
      </c>
    </row>
    <row r="353" spans="1:10" x14ac:dyDescent="0.35">
      <c r="A353" t="s">
        <v>230</v>
      </c>
      <c r="B353" s="1">
        <v>45707</v>
      </c>
      <c r="C353" t="s">
        <v>23</v>
      </c>
      <c r="D353" t="s">
        <v>32</v>
      </c>
      <c r="E353" t="s">
        <v>13</v>
      </c>
      <c r="F353">
        <v>850000</v>
      </c>
      <c r="G353">
        <v>95</v>
      </c>
      <c r="H353" t="s">
        <v>40</v>
      </c>
      <c r="I353" t="s">
        <v>14</v>
      </c>
      <c r="J353" t="s">
        <v>74</v>
      </c>
    </row>
    <row r="354" spans="1:10" x14ac:dyDescent="0.35">
      <c r="A354" t="s">
        <v>392</v>
      </c>
      <c r="B354" t="s">
        <v>393</v>
      </c>
      <c r="C354" t="s">
        <v>27</v>
      </c>
      <c r="D354" t="s">
        <v>73</v>
      </c>
      <c r="E354" t="s">
        <v>13</v>
      </c>
      <c r="F354">
        <v>-800</v>
      </c>
      <c r="G354" t="s">
        <v>24</v>
      </c>
      <c r="H354" t="s">
        <v>40</v>
      </c>
      <c r="I354" t="s">
        <v>19</v>
      </c>
      <c r="J354" t="s">
        <v>42</v>
      </c>
    </row>
    <row r="355" spans="1:10" x14ac:dyDescent="0.35">
      <c r="A355" t="s">
        <v>394</v>
      </c>
      <c r="B355" t="s">
        <v>395</v>
      </c>
      <c r="D355" t="s">
        <v>89</v>
      </c>
      <c r="E355">
        <v>2500</v>
      </c>
      <c r="F355">
        <v>850000</v>
      </c>
      <c r="G355" t="s">
        <v>24</v>
      </c>
      <c r="I355" t="s">
        <v>44</v>
      </c>
      <c r="J355" t="s">
        <v>15</v>
      </c>
    </row>
    <row r="356" spans="1:10" x14ac:dyDescent="0.35">
      <c r="A356" t="s">
        <v>55</v>
      </c>
      <c r="B356" s="1">
        <v>45989</v>
      </c>
      <c r="C356" t="s">
        <v>48</v>
      </c>
      <c r="D356" t="s">
        <v>28</v>
      </c>
      <c r="E356">
        <v>79</v>
      </c>
      <c r="F356">
        <v>-800</v>
      </c>
      <c r="G356">
        <v>2</v>
      </c>
      <c r="H356" t="s">
        <v>67</v>
      </c>
      <c r="I356" t="s">
        <v>41</v>
      </c>
      <c r="J356" t="s">
        <v>42</v>
      </c>
    </row>
    <row r="357" spans="1:10" x14ac:dyDescent="0.35">
      <c r="A357" t="s">
        <v>324</v>
      </c>
      <c r="B357" s="1">
        <v>45911</v>
      </c>
      <c r="C357" t="s">
        <v>48</v>
      </c>
      <c r="D357" t="s">
        <v>39</v>
      </c>
      <c r="E357">
        <v>172</v>
      </c>
      <c r="F357" t="s">
        <v>78</v>
      </c>
      <c r="G357" t="s">
        <v>24</v>
      </c>
      <c r="H357" t="s">
        <v>40</v>
      </c>
      <c r="I357" t="s">
        <v>44</v>
      </c>
      <c r="J357" t="s">
        <v>25</v>
      </c>
    </row>
    <row r="358" spans="1:10" x14ac:dyDescent="0.35">
      <c r="A358" t="s">
        <v>370</v>
      </c>
      <c r="B358" s="1">
        <v>45711</v>
      </c>
      <c r="C358" t="s">
        <v>17</v>
      </c>
      <c r="D358" t="s">
        <v>12</v>
      </c>
      <c r="E358" t="s">
        <v>13</v>
      </c>
      <c r="F358">
        <v>850000</v>
      </c>
      <c r="G358" t="s">
        <v>24</v>
      </c>
      <c r="H358" t="s">
        <v>29</v>
      </c>
      <c r="I358" t="s">
        <v>50</v>
      </c>
      <c r="J358" t="s">
        <v>74</v>
      </c>
    </row>
    <row r="359" spans="1:10" x14ac:dyDescent="0.35">
      <c r="A359" t="s">
        <v>396</v>
      </c>
      <c r="B359" s="1">
        <v>45849</v>
      </c>
      <c r="D359" t="s">
        <v>37</v>
      </c>
      <c r="E359">
        <v>78</v>
      </c>
      <c r="F359">
        <v>850000</v>
      </c>
      <c r="G359" t="s">
        <v>24</v>
      </c>
      <c r="H359" t="s">
        <v>53</v>
      </c>
      <c r="I359" t="s">
        <v>46</v>
      </c>
      <c r="J359" t="s">
        <v>30</v>
      </c>
    </row>
    <row r="360" spans="1:10" x14ac:dyDescent="0.35">
      <c r="A360" t="s">
        <v>397</v>
      </c>
      <c r="B360" s="1">
        <v>45993</v>
      </c>
      <c r="C360" t="s">
        <v>76</v>
      </c>
      <c r="D360" t="s">
        <v>37</v>
      </c>
      <c r="E360">
        <v>2500</v>
      </c>
      <c r="F360" s="2">
        <v>4500</v>
      </c>
      <c r="G360">
        <v>2</v>
      </c>
      <c r="H360" t="s">
        <v>67</v>
      </c>
      <c r="I360" t="s">
        <v>50</v>
      </c>
      <c r="J360" t="s">
        <v>30</v>
      </c>
    </row>
    <row r="361" spans="1:10" x14ac:dyDescent="0.35">
      <c r="A361" t="s">
        <v>197</v>
      </c>
      <c r="B361" s="1">
        <v>45764</v>
      </c>
      <c r="C361" t="s">
        <v>76</v>
      </c>
      <c r="D361" t="s">
        <v>32</v>
      </c>
      <c r="E361" t="s">
        <v>13</v>
      </c>
      <c r="F361">
        <v>-800</v>
      </c>
      <c r="G361" t="s">
        <v>24</v>
      </c>
      <c r="H361" t="s">
        <v>67</v>
      </c>
      <c r="I361" t="s">
        <v>14</v>
      </c>
      <c r="J361" t="s">
        <v>42</v>
      </c>
    </row>
    <row r="362" spans="1:10" x14ac:dyDescent="0.35">
      <c r="A362" t="s">
        <v>163</v>
      </c>
      <c r="B362" t="s">
        <v>398</v>
      </c>
      <c r="D362" t="s">
        <v>32</v>
      </c>
      <c r="E362">
        <v>188</v>
      </c>
      <c r="F362" t="s">
        <v>78</v>
      </c>
      <c r="G362">
        <v>10</v>
      </c>
      <c r="H362" t="s">
        <v>29</v>
      </c>
      <c r="I362" t="s">
        <v>19</v>
      </c>
      <c r="J362" t="s">
        <v>74</v>
      </c>
    </row>
    <row r="363" spans="1:10" x14ac:dyDescent="0.35">
      <c r="A363" t="s">
        <v>399</v>
      </c>
      <c r="B363" s="1">
        <v>45979</v>
      </c>
      <c r="C363" t="s">
        <v>27</v>
      </c>
      <c r="D363" t="s">
        <v>39</v>
      </c>
      <c r="E363" t="s">
        <v>13</v>
      </c>
      <c r="F363">
        <v>850000</v>
      </c>
      <c r="G363">
        <v>9</v>
      </c>
      <c r="H363" t="s">
        <v>67</v>
      </c>
      <c r="I363" t="s">
        <v>44</v>
      </c>
      <c r="J363" t="s">
        <v>42</v>
      </c>
    </row>
    <row r="364" spans="1:10" x14ac:dyDescent="0.35">
      <c r="A364" t="s">
        <v>212</v>
      </c>
      <c r="B364" t="s">
        <v>400</v>
      </c>
      <c r="C364" t="s">
        <v>17</v>
      </c>
      <c r="D364" t="s">
        <v>37</v>
      </c>
      <c r="E364" t="s">
        <v>13</v>
      </c>
      <c r="F364">
        <v>-800</v>
      </c>
      <c r="G364">
        <v>95</v>
      </c>
      <c r="H364" t="s">
        <v>70</v>
      </c>
      <c r="I364" t="s">
        <v>19</v>
      </c>
      <c r="J364" t="s">
        <v>33</v>
      </c>
    </row>
    <row r="365" spans="1:10" x14ac:dyDescent="0.35">
      <c r="A365" t="s">
        <v>300</v>
      </c>
      <c r="B365" s="1">
        <v>46019</v>
      </c>
      <c r="C365" t="s">
        <v>23</v>
      </c>
      <c r="D365" t="s">
        <v>73</v>
      </c>
      <c r="E365">
        <v>-12</v>
      </c>
      <c r="F365" t="s">
        <v>78</v>
      </c>
      <c r="G365">
        <v>95</v>
      </c>
      <c r="H365" t="s">
        <v>53</v>
      </c>
      <c r="I365" t="s">
        <v>44</v>
      </c>
      <c r="J365" t="s">
        <v>15</v>
      </c>
    </row>
    <row r="366" spans="1:10" x14ac:dyDescent="0.35">
      <c r="A366" t="s">
        <v>401</v>
      </c>
      <c r="B366" s="1">
        <v>45988</v>
      </c>
      <c r="C366" t="s">
        <v>27</v>
      </c>
      <c r="D366" t="s">
        <v>28</v>
      </c>
      <c r="E366">
        <v>-12</v>
      </c>
      <c r="F366">
        <v>-800</v>
      </c>
      <c r="G366" t="s">
        <v>24</v>
      </c>
      <c r="H366" t="s">
        <v>18</v>
      </c>
      <c r="I366" t="s">
        <v>50</v>
      </c>
      <c r="J366" t="s">
        <v>25</v>
      </c>
    </row>
    <row r="367" spans="1:10" x14ac:dyDescent="0.35">
      <c r="A367" t="s">
        <v>402</v>
      </c>
      <c r="B367" t="s">
        <v>403</v>
      </c>
      <c r="C367" t="s">
        <v>17</v>
      </c>
      <c r="D367" t="s">
        <v>64</v>
      </c>
      <c r="E367">
        <v>133</v>
      </c>
      <c r="F367">
        <v>850000</v>
      </c>
      <c r="G367" t="s">
        <v>24</v>
      </c>
      <c r="H367" t="s">
        <v>29</v>
      </c>
      <c r="I367" t="s">
        <v>50</v>
      </c>
      <c r="J367" t="s">
        <v>25</v>
      </c>
    </row>
    <row r="368" spans="1:10" x14ac:dyDescent="0.35">
      <c r="A368" t="s">
        <v>311</v>
      </c>
      <c r="B368" s="1">
        <v>45669</v>
      </c>
      <c r="C368" t="s">
        <v>57</v>
      </c>
      <c r="D368" t="s">
        <v>32</v>
      </c>
      <c r="E368" t="s">
        <v>13</v>
      </c>
      <c r="F368" s="2">
        <v>4500</v>
      </c>
      <c r="G368">
        <v>95</v>
      </c>
      <c r="H368" t="s">
        <v>29</v>
      </c>
      <c r="I368" t="s">
        <v>14</v>
      </c>
      <c r="J368" t="s">
        <v>74</v>
      </c>
    </row>
    <row r="369" spans="1:10" x14ac:dyDescent="0.35">
      <c r="A369" t="s">
        <v>404</v>
      </c>
      <c r="B369" s="1">
        <v>45723</v>
      </c>
      <c r="C369" t="s">
        <v>23</v>
      </c>
      <c r="D369" t="s">
        <v>64</v>
      </c>
      <c r="E369">
        <v>175</v>
      </c>
      <c r="F369">
        <v>850000</v>
      </c>
      <c r="G369">
        <v>5</v>
      </c>
      <c r="H369" t="s">
        <v>67</v>
      </c>
      <c r="I369" t="s">
        <v>14</v>
      </c>
      <c r="J369" t="s">
        <v>25</v>
      </c>
    </row>
    <row r="370" spans="1:10" x14ac:dyDescent="0.35">
      <c r="A370" t="s">
        <v>276</v>
      </c>
      <c r="B370" t="s">
        <v>405</v>
      </c>
      <c r="C370" t="s">
        <v>23</v>
      </c>
      <c r="D370" t="s">
        <v>12</v>
      </c>
      <c r="E370">
        <v>197</v>
      </c>
      <c r="F370">
        <v>850000</v>
      </c>
      <c r="G370">
        <v>95</v>
      </c>
      <c r="H370" t="s">
        <v>53</v>
      </c>
      <c r="I370" t="s">
        <v>19</v>
      </c>
      <c r="J370" t="s">
        <v>15</v>
      </c>
    </row>
    <row r="371" spans="1:10" x14ac:dyDescent="0.35">
      <c r="A371" t="s">
        <v>406</v>
      </c>
      <c r="B371" s="1">
        <v>45848</v>
      </c>
      <c r="D371" t="s">
        <v>28</v>
      </c>
      <c r="E371">
        <v>-12</v>
      </c>
      <c r="F371">
        <v>-800</v>
      </c>
      <c r="G371">
        <v>95</v>
      </c>
      <c r="H371" t="s">
        <v>70</v>
      </c>
      <c r="I371" t="s">
        <v>46</v>
      </c>
      <c r="J371" t="s">
        <v>74</v>
      </c>
    </row>
    <row r="372" spans="1:10" x14ac:dyDescent="0.35">
      <c r="A372" t="s">
        <v>16</v>
      </c>
      <c r="B372" s="1">
        <v>45872</v>
      </c>
      <c r="C372" t="s">
        <v>76</v>
      </c>
      <c r="D372" t="s">
        <v>73</v>
      </c>
      <c r="E372">
        <v>2500</v>
      </c>
      <c r="F372" t="s">
        <v>78</v>
      </c>
      <c r="G372">
        <v>9</v>
      </c>
      <c r="H372" t="s">
        <v>53</v>
      </c>
      <c r="I372" t="s">
        <v>41</v>
      </c>
      <c r="J372" t="s">
        <v>33</v>
      </c>
    </row>
    <row r="373" spans="1:10" x14ac:dyDescent="0.35">
      <c r="A373" t="s">
        <v>145</v>
      </c>
      <c r="B373" t="s">
        <v>407</v>
      </c>
      <c r="C373" t="s">
        <v>57</v>
      </c>
      <c r="D373" t="s">
        <v>37</v>
      </c>
      <c r="E373">
        <v>-12</v>
      </c>
      <c r="F373" s="2">
        <v>4500</v>
      </c>
      <c r="G373">
        <v>95</v>
      </c>
      <c r="I373" t="s">
        <v>46</v>
      </c>
      <c r="J373" t="s">
        <v>33</v>
      </c>
    </row>
    <row r="374" spans="1:10" x14ac:dyDescent="0.35">
      <c r="A374" t="s">
        <v>408</v>
      </c>
      <c r="B374" s="1">
        <v>45934</v>
      </c>
      <c r="C374" t="s">
        <v>57</v>
      </c>
      <c r="D374" t="s">
        <v>73</v>
      </c>
      <c r="E374">
        <v>2500</v>
      </c>
      <c r="F374">
        <v>3478</v>
      </c>
      <c r="G374" t="s">
        <v>24</v>
      </c>
      <c r="H374" t="s">
        <v>40</v>
      </c>
      <c r="I374" t="s">
        <v>19</v>
      </c>
      <c r="J374" t="s">
        <v>42</v>
      </c>
    </row>
    <row r="375" spans="1:10" x14ac:dyDescent="0.35">
      <c r="A375" t="s">
        <v>278</v>
      </c>
      <c r="B375" t="s">
        <v>409</v>
      </c>
      <c r="D375" t="s">
        <v>32</v>
      </c>
      <c r="E375">
        <v>-12</v>
      </c>
      <c r="F375">
        <v>-800</v>
      </c>
      <c r="G375">
        <v>95</v>
      </c>
      <c r="H375" t="s">
        <v>49</v>
      </c>
      <c r="I375" t="s">
        <v>50</v>
      </c>
      <c r="J375" t="s">
        <v>42</v>
      </c>
    </row>
    <row r="376" spans="1:10" x14ac:dyDescent="0.35">
      <c r="A376" t="s">
        <v>410</v>
      </c>
      <c r="B376" s="1">
        <v>45813</v>
      </c>
      <c r="C376" t="s">
        <v>36</v>
      </c>
      <c r="D376" t="s">
        <v>89</v>
      </c>
      <c r="E376">
        <v>2500</v>
      </c>
      <c r="F376" t="s">
        <v>78</v>
      </c>
      <c r="G376" t="s">
        <v>24</v>
      </c>
      <c r="H376" t="s">
        <v>67</v>
      </c>
      <c r="I376" t="s">
        <v>41</v>
      </c>
      <c r="J376" t="s">
        <v>20</v>
      </c>
    </row>
    <row r="377" spans="1:10" x14ac:dyDescent="0.35">
      <c r="A377" t="s">
        <v>47</v>
      </c>
      <c r="B377" s="1">
        <v>45848</v>
      </c>
      <c r="C377" t="s">
        <v>17</v>
      </c>
      <c r="D377" t="s">
        <v>64</v>
      </c>
      <c r="E377" t="s">
        <v>13</v>
      </c>
      <c r="F377">
        <v>850000</v>
      </c>
      <c r="G377">
        <v>9</v>
      </c>
      <c r="I377" t="s">
        <v>19</v>
      </c>
      <c r="J377" t="s">
        <v>20</v>
      </c>
    </row>
    <row r="378" spans="1:10" x14ac:dyDescent="0.35">
      <c r="A378" t="s">
        <v>209</v>
      </c>
      <c r="B378" s="1">
        <v>45993</v>
      </c>
      <c r="C378" t="s">
        <v>36</v>
      </c>
      <c r="D378" t="s">
        <v>64</v>
      </c>
      <c r="E378">
        <v>-12</v>
      </c>
      <c r="F378">
        <v>850000</v>
      </c>
      <c r="G378">
        <v>95</v>
      </c>
      <c r="H378" t="s">
        <v>53</v>
      </c>
      <c r="I378" t="s">
        <v>19</v>
      </c>
      <c r="J378" t="s">
        <v>74</v>
      </c>
    </row>
    <row r="379" spans="1:10" x14ac:dyDescent="0.35">
      <c r="A379" t="s">
        <v>411</v>
      </c>
      <c r="B379" s="1">
        <v>45702</v>
      </c>
      <c r="C379" t="s">
        <v>76</v>
      </c>
      <c r="D379" t="s">
        <v>64</v>
      </c>
      <c r="E379">
        <v>2500</v>
      </c>
      <c r="F379" t="s">
        <v>78</v>
      </c>
      <c r="G379">
        <v>7</v>
      </c>
      <c r="H379" t="s">
        <v>29</v>
      </c>
      <c r="I379" t="s">
        <v>44</v>
      </c>
      <c r="J379" t="s">
        <v>74</v>
      </c>
    </row>
    <row r="380" spans="1:10" x14ac:dyDescent="0.35">
      <c r="A380" t="s">
        <v>88</v>
      </c>
      <c r="B380" s="1">
        <v>45920</v>
      </c>
      <c r="C380" t="s">
        <v>36</v>
      </c>
      <c r="D380" t="s">
        <v>37</v>
      </c>
      <c r="E380">
        <v>2500</v>
      </c>
      <c r="F380">
        <v>850000</v>
      </c>
      <c r="G380" t="s">
        <v>24</v>
      </c>
      <c r="I380" t="s">
        <v>44</v>
      </c>
      <c r="J380" t="s">
        <v>25</v>
      </c>
    </row>
    <row r="381" spans="1:10" x14ac:dyDescent="0.35">
      <c r="A381" t="s">
        <v>412</v>
      </c>
      <c r="B381" s="1">
        <v>45953</v>
      </c>
      <c r="C381" t="s">
        <v>36</v>
      </c>
      <c r="D381" t="s">
        <v>64</v>
      </c>
      <c r="E381">
        <v>2500</v>
      </c>
      <c r="F381">
        <v>-800</v>
      </c>
      <c r="G381">
        <v>2</v>
      </c>
      <c r="H381" t="s">
        <v>49</v>
      </c>
      <c r="I381" t="s">
        <v>50</v>
      </c>
      <c r="J381" t="s">
        <v>74</v>
      </c>
    </row>
    <row r="382" spans="1:10" x14ac:dyDescent="0.35">
      <c r="A382" t="s">
        <v>163</v>
      </c>
      <c r="B382" s="1">
        <v>45814</v>
      </c>
      <c r="C382" t="s">
        <v>27</v>
      </c>
      <c r="D382" t="s">
        <v>64</v>
      </c>
      <c r="E382">
        <v>168</v>
      </c>
      <c r="F382">
        <v>-800</v>
      </c>
      <c r="G382">
        <v>95</v>
      </c>
      <c r="H382" t="s">
        <v>29</v>
      </c>
      <c r="I382" t="s">
        <v>50</v>
      </c>
      <c r="J382" t="s">
        <v>33</v>
      </c>
    </row>
    <row r="383" spans="1:10" x14ac:dyDescent="0.35">
      <c r="A383">
        <v>1376</v>
      </c>
      <c r="B383" t="s">
        <v>350</v>
      </c>
      <c r="C383" t="s">
        <v>57</v>
      </c>
      <c r="D383" t="s">
        <v>28</v>
      </c>
      <c r="E383" t="s">
        <v>13</v>
      </c>
      <c r="F383">
        <v>2420</v>
      </c>
      <c r="G383">
        <v>95</v>
      </c>
      <c r="H383" t="s">
        <v>18</v>
      </c>
      <c r="I383" t="s">
        <v>46</v>
      </c>
      <c r="J383" t="s">
        <v>42</v>
      </c>
    </row>
    <row r="384" spans="1:10" x14ac:dyDescent="0.35">
      <c r="A384" t="s">
        <v>335</v>
      </c>
      <c r="B384" s="1">
        <v>45749</v>
      </c>
      <c r="D384" t="s">
        <v>28</v>
      </c>
      <c r="E384">
        <v>2500</v>
      </c>
      <c r="F384">
        <v>850000</v>
      </c>
      <c r="G384">
        <v>95</v>
      </c>
      <c r="H384" t="s">
        <v>40</v>
      </c>
      <c r="I384" t="s">
        <v>14</v>
      </c>
      <c r="J384" t="s">
        <v>74</v>
      </c>
    </row>
    <row r="385" spans="1:10" x14ac:dyDescent="0.35">
      <c r="A385" t="s">
        <v>176</v>
      </c>
      <c r="B385" t="s">
        <v>413</v>
      </c>
      <c r="C385" t="s">
        <v>27</v>
      </c>
      <c r="D385" t="s">
        <v>89</v>
      </c>
      <c r="E385">
        <v>2500</v>
      </c>
      <c r="F385">
        <v>38781</v>
      </c>
      <c r="G385" t="s">
        <v>24</v>
      </c>
      <c r="H385" t="s">
        <v>18</v>
      </c>
      <c r="I385" t="s">
        <v>46</v>
      </c>
      <c r="J385" t="s">
        <v>25</v>
      </c>
    </row>
    <row r="386" spans="1:10" x14ac:dyDescent="0.35">
      <c r="A386" t="s">
        <v>81</v>
      </c>
      <c r="B386" s="1">
        <v>45752</v>
      </c>
      <c r="C386" t="s">
        <v>11</v>
      </c>
      <c r="D386" t="s">
        <v>12</v>
      </c>
      <c r="E386">
        <v>-12</v>
      </c>
      <c r="F386" s="2">
        <v>4500</v>
      </c>
      <c r="G386">
        <v>11</v>
      </c>
      <c r="I386" t="s">
        <v>46</v>
      </c>
      <c r="J386" t="s">
        <v>20</v>
      </c>
    </row>
    <row r="387" spans="1:10" x14ac:dyDescent="0.35">
      <c r="A387" t="s">
        <v>343</v>
      </c>
      <c r="B387" s="1">
        <v>45919</v>
      </c>
      <c r="C387" t="s">
        <v>11</v>
      </c>
      <c r="D387" t="s">
        <v>32</v>
      </c>
      <c r="E387" t="s">
        <v>13</v>
      </c>
      <c r="F387" s="2">
        <v>4500</v>
      </c>
      <c r="G387">
        <v>95</v>
      </c>
      <c r="H387" t="s">
        <v>70</v>
      </c>
      <c r="I387" t="s">
        <v>50</v>
      </c>
      <c r="J387" t="s">
        <v>15</v>
      </c>
    </row>
    <row r="388" spans="1:10" x14ac:dyDescent="0.35">
      <c r="A388" t="s">
        <v>326</v>
      </c>
      <c r="B388" t="s">
        <v>414</v>
      </c>
      <c r="C388" t="s">
        <v>17</v>
      </c>
      <c r="D388" t="s">
        <v>32</v>
      </c>
      <c r="E388">
        <v>147</v>
      </c>
      <c r="F388">
        <v>27737</v>
      </c>
      <c r="G388">
        <v>95</v>
      </c>
      <c r="H388" t="s">
        <v>29</v>
      </c>
      <c r="I388" t="s">
        <v>19</v>
      </c>
      <c r="J388" t="s">
        <v>20</v>
      </c>
    </row>
    <row r="389" spans="1:10" x14ac:dyDescent="0.35">
      <c r="A389" t="s">
        <v>415</v>
      </c>
      <c r="B389" s="1">
        <v>45909</v>
      </c>
      <c r="C389" t="s">
        <v>57</v>
      </c>
      <c r="D389" t="s">
        <v>32</v>
      </c>
      <c r="E389">
        <v>62</v>
      </c>
      <c r="F389" t="s">
        <v>78</v>
      </c>
      <c r="G389" t="s">
        <v>24</v>
      </c>
      <c r="H389" t="s">
        <v>67</v>
      </c>
      <c r="I389" t="s">
        <v>44</v>
      </c>
      <c r="J389" t="s">
        <v>42</v>
      </c>
    </row>
    <row r="390" spans="1:10" x14ac:dyDescent="0.35">
      <c r="A390" t="s">
        <v>244</v>
      </c>
      <c r="B390" t="s">
        <v>416</v>
      </c>
      <c r="C390" t="s">
        <v>17</v>
      </c>
      <c r="D390" t="s">
        <v>89</v>
      </c>
      <c r="E390" t="s">
        <v>13</v>
      </c>
      <c r="F390" t="s">
        <v>78</v>
      </c>
      <c r="G390">
        <v>95</v>
      </c>
      <c r="H390" t="s">
        <v>29</v>
      </c>
      <c r="I390" t="s">
        <v>46</v>
      </c>
      <c r="J390" t="s">
        <v>30</v>
      </c>
    </row>
    <row r="391" spans="1:10" x14ac:dyDescent="0.35">
      <c r="A391">
        <v>1099</v>
      </c>
      <c r="B391" s="1">
        <v>45933</v>
      </c>
      <c r="C391" t="s">
        <v>11</v>
      </c>
      <c r="D391" t="s">
        <v>12</v>
      </c>
      <c r="E391">
        <v>2500</v>
      </c>
      <c r="F391" s="2">
        <v>4500</v>
      </c>
      <c r="G391">
        <v>8</v>
      </c>
      <c r="H391" t="s">
        <v>53</v>
      </c>
      <c r="I391" t="s">
        <v>50</v>
      </c>
      <c r="J391" t="s">
        <v>15</v>
      </c>
    </row>
    <row r="392" spans="1:10" x14ac:dyDescent="0.35">
      <c r="A392" t="s">
        <v>175</v>
      </c>
      <c r="B392" t="s">
        <v>417</v>
      </c>
      <c r="C392" t="s">
        <v>11</v>
      </c>
      <c r="D392" t="s">
        <v>12</v>
      </c>
      <c r="E392" t="s">
        <v>13</v>
      </c>
      <c r="F392" t="s">
        <v>78</v>
      </c>
      <c r="G392" t="s">
        <v>24</v>
      </c>
      <c r="H392" t="s">
        <v>49</v>
      </c>
      <c r="I392" t="s">
        <v>19</v>
      </c>
      <c r="J392" t="s">
        <v>30</v>
      </c>
    </row>
    <row r="393" spans="1:10" x14ac:dyDescent="0.35">
      <c r="A393" t="s">
        <v>257</v>
      </c>
      <c r="B393" s="1">
        <v>45850</v>
      </c>
      <c r="C393" t="s">
        <v>36</v>
      </c>
      <c r="D393" t="s">
        <v>39</v>
      </c>
      <c r="E393">
        <v>178</v>
      </c>
      <c r="F393">
        <v>10229</v>
      </c>
      <c r="G393">
        <v>8</v>
      </c>
      <c r="I393" t="s">
        <v>44</v>
      </c>
      <c r="J393" t="s">
        <v>74</v>
      </c>
    </row>
    <row r="394" spans="1:10" x14ac:dyDescent="0.35">
      <c r="A394" t="s">
        <v>418</v>
      </c>
      <c r="B394" s="1">
        <v>45864</v>
      </c>
      <c r="C394" t="s">
        <v>11</v>
      </c>
      <c r="D394" t="s">
        <v>37</v>
      </c>
      <c r="E394">
        <v>6</v>
      </c>
      <c r="F394">
        <v>-800</v>
      </c>
      <c r="G394">
        <v>95</v>
      </c>
      <c r="H394" t="s">
        <v>40</v>
      </c>
      <c r="I394" t="s">
        <v>50</v>
      </c>
      <c r="J394" t="s">
        <v>42</v>
      </c>
    </row>
    <row r="395" spans="1:10" x14ac:dyDescent="0.35">
      <c r="A395">
        <v>1059</v>
      </c>
      <c r="B395" s="1">
        <v>45712</v>
      </c>
      <c r="C395" t="s">
        <v>76</v>
      </c>
      <c r="D395" t="s">
        <v>39</v>
      </c>
      <c r="E395">
        <v>-12</v>
      </c>
      <c r="F395">
        <v>850000</v>
      </c>
      <c r="G395">
        <v>95</v>
      </c>
      <c r="H395" t="s">
        <v>53</v>
      </c>
      <c r="I395" t="s">
        <v>14</v>
      </c>
      <c r="J395" t="s">
        <v>33</v>
      </c>
    </row>
    <row r="396" spans="1:10" x14ac:dyDescent="0.35">
      <c r="A396" t="s">
        <v>58</v>
      </c>
      <c r="B396" s="1">
        <v>45743</v>
      </c>
      <c r="C396" t="s">
        <v>57</v>
      </c>
      <c r="D396" t="s">
        <v>28</v>
      </c>
      <c r="E396">
        <v>99</v>
      </c>
      <c r="F396">
        <v>850000</v>
      </c>
      <c r="G396">
        <v>95</v>
      </c>
      <c r="H396" t="s">
        <v>67</v>
      </c>
      <c r="I396" t="s">
        <v>44</v>
      </c>
      <c r="J396" t="s">
        <v>33</v>
      </c>
    </row>
    <row r="397" spans="1:10" x14ac:dyDescent="0.35">
      <c r="A397" t="s">
        <v>419</v>
      </c>
      <c r="B397" s="1">
        <v>45863</v>
      </c>
      <c r="C397" t="s">
        <v>23</v>
      </c>
      <c r="D397" t="s">
        <v>64</v>
      </c>
      <c r="E397">
        <v>2500</v>
      </c>
      <c r="F397">
        <v>850000</v>
      </c>
      <c r="G397">
        <v>95</v>
      </c>
      <c r="H397" t="s">
        <v>29</v>
      </c>
      <c r="I397" t="s">
        <v>50</v>
      </c>
      <c r="J397" t="s">
        <v>25</v>
      </c>
    </row>
    <row r="398" spans="1:10" x14ac:dyDescent="0.35">
      <c r="A398" t="s">
        <v>420</v>
      </c>
      <c r="B398" s="1">
        <v>46022</v>
      </c>
      <c r="C398" t="s">
        <v>23</v>
      </c>
      <c r="D398" t="s">
        <v>39</v>
      </c>
      <c r="E398" t="s">
        <v>13</v>
      </c>
      <c r="F398">
        <v>850000</v>
      </c>
      <c r="G398">
        <v>7</v>
      </c>
      <c r="H398" t="s">
        <v>18</v>
      </c>
      <c r="I398" t="s">
        <v>46</v>
      </c>
      <c r="J398" t="s">
        <v>15</v>
      </c>
    </row>
    <row r="399" spans="1:10" x14ac:dyDescent="0.35">
      <c r="A399" t="s">
        <v>421</v>
      </c>
      <c r="B399" s="1">
        <v>45884</v>
      </c>
      <c r="C399" t="s">
        <v>48</v>
      </c>
      <c r="D399" t="s">
        <v>64</v>
      </c>
      <c r="E399">
        <v>-12</v>
      </c>
      <c r="F399">
        <v>36616</v>
      </c>
      <c r="G399">
        <v>12</v>
      </c>
      <c r="H399" t="s">
        <v>49</v>
      </c>
      <c r="I399" t="s">
        <v>19</v>
      </c>
      <c r="J399" t="s">
        <v>42</v>
      </c>
    </row>
    <row r="400" spans="1:10" x14ac:dyDescent="0.35">
      <c r="A400" t="s">
        <v>331</v>
      </c>
      <c r="B400" s="1">
        <v>45716</v>
      </c>
      <c r="C400" t="s">
        <v>23</v>
      </c>
      <c r="D400" t="s">
        <v>73</v>
      </c>
      <c r="E400">
        <v>149</v>
      </c>
      <c r="F400" t="s">
        <v>78</v>
      </c>
      <c r="G400" t="s">
        <v>24</v>
      </c>
      <c r="H400" t="s">
        <v>29</v>
      </c>
      <c r="I400" t="s">
        <v>46</v>
      </c>
      <c r="J400" t="s">
        <v>74</v>
      </c>
    </row>
    <row r="401" spans="1:10" x14ac:dyDescent="0.35">
      <c r="A401" t="s">
        <v>422</v>
      </c>
      <c r="B401" s="1">
        <v>45882</v>
      </c>
      <c r="C401" t="s">
        <v>17</v>
      </c>
      <c r="D401" t="s">
        <v>12</v>
      </c>
      <c r="E401">
        <v>2500</v>
      </c>
      <c r="F401">
        <v>25148</v>
      </c>
      <c r="G401" t="s">
        <v>24</v>
      </c>
      <c r="H401" t="s">
        <v>18</v>
      </c>
      <c r="I401" t="s">
        <v>44</v>
      </c>
      <c r="J401" t="s">
        <v>20</v>
      </c>
    </row>
    <row r="402" spans="1:10" x14ac:dyDescent="0.35">
      <c r="A402" t="s">
        <v>423</v>
      </c>
      <c r="B402" s="1">
        <v>46014</v>
      </c>
      <c r="C402" t="s">
        <v>27</v>
      </c>
      <c r="D402" t="s">
        <v>39</v>
      </c>
      <c r="E402" t="s">
        <v>13</v>
      </c>
      <c r="F402" s="2">
        <v>4500</v>
      </c>
      <c r="G402" t="s">
        <v>24</v>
      </c>
      <c r="H402" t="s">
        <v>53</v>
      </c>
      <c r="I402" t="s">
        <v>14</v>
      </c>
      <c r="J402" t="s">
        <v>30</v>
      </c>
    </row>
    <row r="403" spans="1:10" x14ac:dyDescent="0.35">
      <c r="A403" t="s">
        <v>424</v>
      </c>
      <c r="B403" s="1">
        <v>45759</v>
      </c>
      <c r="D403" t="s">
        <v>12</v>
      </c>
      <c r="E403">
        <v>165</v>
      </c>
      <c r="F403" s="2">
        <v>4500</v>
      </c>
      <c r="G403">
        <v>95</v>
      </c>
      <c r="H403" t="s">
        <v>67</v>
      </c>
      <c r="I403" t="s">
        <v>41</v>
      </c>
      <c r="J403" t="s">
        <v>15</v>
      </c>
    </row>
    <row r="404" spans="1:10" x14ac:dyDescent="0.35">
      <c r="A404" t="s">
        <v>200</v>
      </c>
      <c r="B404" t="s">
        <v>425</v>
      </c>
      <c r="C404" t="s">
        <v>27</v>
      </c>
      <c r="D404" t="s">
        <v>37</v>
      </c>
      <c r="E404">
        <v>2500</v>
      </c>
      <c r="F404" t="s">
        <v>78</v>
      </c>
      <c r="G404">
        <v>6</v>
      </c>
      <c r="H404" t="s">
        <v>40</v>
      </c>
      <c r="I404" t="s">
        <v>19</v>
      </c>
      <c r="J404" t="s">
        <v>30</v>
      </c>
    </row>
    <row r="405" spans="1:10" x14ac:dyDescent="0.35">
      <c r="A405" t="s">
        <v>184</v>
      </c>
      <c r="B405" s="1">
        <v>45896</v>
      </c>
      <c r="D405" t="s">
        <v>12</v>
      </c>
      <c r="E405">
        <v>155</v>
      </c>
      <c r="F405">
        <v>850000</v>
      </c>
      <c r="G405">
        <v>95</v>
      </c>
      <c r="H405" t="s">
        <v>67</v>
      </c>
      <c r="I405" t="s">
        <v>44</v>
      </c>
      <c r="J405" t="s">
        <v>74</v>
      </c>
    </row>
    <row r="406" spans="1:10" x14ac:dyDescent="0.35">
      <c r="A406" t="s">
        <v>253</v>
      </c>
      <c r="B406" s="1">
        <v>45970</v>
      </c>
      <c r="C406" t="s">
        <v>36</v>
      </c>
      <c r="D406" t="s">
        <v>28</v>
      </c>
      <c r="E406">
        <v>2500</v>
      </c>
      <c r="F406">
        <v>850000</v>
      </c>
      <c r="G406" t="s">
        <v>24</v>
      </c>
      <c r="H406" t="s">
        <v>70</v>
      </c>
      <c r="I406" t="s">
        <v>19</v>
      </c>
      <c r="J406" t="s">
        <v>33</v>
      </c>
    </row>
    <row r="407" spans="1:10" x14ac:dyDescent="0.35">
      <c r="A407" t="s">
        <v>60</v>
      </c>
      <c r="B407" s="1">
        <v>45876</v>
      </c>
      <c r="C407" t="s">
        <v>23</v>
      </c>
      <c r="D407" t="s">
        <v>73</v>
      </c>
      <c r="E407">
        <v>2500</v>
      </c>
      <c r="F407" s="2">
        <v>4500</v>
      </c>
      <c r="G407" t="s">
        <v>24</v>
      </c>
      <c r="H407" t="s">
        <v>67</v>
      </c>
      <c r="I407" t="s">
        <v>50</v>
      </c>
      <c r="J407" t="s">
        <v>74</v>
      </c>
    </row>
    <row r="408" spans="1:10" x14ac:dyDescent="0.35">
      <c r="A408" t="s">
        <v>426</v>
      </c>
      <c r="B408" s="1">
        <v>45878</v>
      </c>
      <c r="C408" t="s">
        <v>36</v>
      </c>
      <c r="D408" t="s">
        <v>12</v>
      </c>
      <c r="E408">
        <v>2500</v>
      </c>
      <c r="F408">
        <v>6220</v>
      </c>
      <c r="G408" t="s">
        <v>24</v>
      </c>
      <c r="H408" t="s">
        <v>40</v>
      </c>
      <c r="I408" t="s">
        <v>19</v>
      </c>
      <c r="J408" t="s">
        <v>74</v>
      </c>
    </row>
    <row r="409" spans="1:10" x14ac:dyDescent="0.35">
      <c r="A409" t="s">
        <v>427</v>
      </c>
      <c r="B409" t="s">
        <v>428</v>
      </c>
      <c r="C409" t="s">
        <v>36</v>
      </c>
      <c r="D409" t="s">
        <v>73</v>
      </c>
      <c r="E409">
        <v>-12</v>
      </c>
      <c r="F409" t="s">
        <v>78</v>
      </c>
      <c r="G409" t="s">
        <v>24</v>
      </c>
      <c r="H409" t="s">
        <v>40</v>
      </c>
      <c r="I409" t="s">
        <v>14</v>
      </c>
      <c r="J409" t="s">
        <v>42</v>
      </c>
    </row>
    <row r="410" spans="1:10" x14ac:dyDescent="0.35">
      <c r="A410" t="s">
        <v>429</v>
      </c>
      <c r="B410" s="1">
        <v>45979</v>
      </c>
      <c r="C410" t="s">
        <v>23</v>
      </c>
      <c r="D410" t="s">
        <v>64</v>
      </c>
      <c r="E410">
        <v>2500</v>
      </c>
      <c r="F410">
        <v>15198</v>
      </c>
      <c r="G410">
        <v>4</v>
      </c>
      <c r="H410" t="s">
        <v>29</v>
      </c>
      <c r="I410" t="s">
        <v>41</v>
      </c>
      <c r="J410" t="s">
        <v>33</v>
      </c>
    </row>
    <row r="411" spans="1:10" x14ac:dyDescent="0.35">
      <c r="A411" t="s">
        <v>114</v>
      </c>
      <c r="B411" s="1">
        <v>45742</v>
      </c>
      <c r="D411" t="s">
        <v>28</v>
      </c>
      <c r="E411" t="s">
        <v>13</v>
      </c>
      <c r="F411" t="s">
        <v>78</v>
      </c>
      <c r="G411" t="s">
        <v>24</v>
      </c>
      <c r="H411" t="s">
        <v>70</v>
      </c>
      <c r="I411" t="s">
        <v>14</v>
      </c>
      <c r="J411" t="s">
        <v>15</v>
      </c>
    </row>
    <row r="412" spans="1:10" x14ac:dyDescent="0.35">
      <c r="A412" t="s">
        <v>430</v>
      </c>
      <c r="B412" t="s">
        <v>431</v>
      </c>
      <c r="C412" t="s">
        <v>76</v>
      </c>
      <c r="D412" t="s">
        <v>89</v>
      </c>
      <c r="E412">
        <v>111</v>
      </c>
      <c r="F412">
        <v>23072</v>
      </c>
      <c r="G412">
        <v>95</v>
      </c>
      <c r="H412" t="s">
        <v>67</v>
      </c>
      <c r="I412" t="s">
        <v>19</v>
      </c>
      <c r="J412" t="s">
        <v>30</v>
      </c>
    </row>
    <row r="413" spans="1:10" x14ac:dyDescent="0.35">
      <c r="A413" t="s">
        <v>308</v>
      </c>
      <c r="B413" t="s">
        <v>432</v>
      </c>
      <c r="C413" t="s">
        <v>27</v>
      </c>
      <c r="D413" t="s">
        <v>64</v>
      </c>
      <c r="E413">
        <v>2500</v>
      </c>
      <c r="F413">
        <v>-800</v>
      </c>
      <c r="G413">
        <v>4</v>
      </c>
      <c r="H413" t="s">
        <v>70</v>
      </c>
      <c r="I413" t="s">
        <v>14</v>
      </c>
      <c r="J413" t="s">
        <v>30</v>
      </c>
    </row>
    <row r="414" spans="1:10" x14ac:dyDescent="0.35">
      <c r="A414" t="s">
        <v>433</v>
      </c>
      <c r="B414" s="1">
        <v>46003</v>
      </c>
      <c r="C414" t="s">
        <v>23</v>
      </c>
      <c r="D414" t="s">
        <v>37</v>
      </c>
      <c r="E414" t="s">
        <v>13</v>
      </c>
      <c r="F414" t="s">
        <v>78</v>
      </c>
      <c r="G414">
        <v>95</v>
      </c>
      <c r="H414" t="s">
        <v>67</v>
      </c>
      <c r="I414" t="s">
        <v>19</v>
      </c>
      <c r="J414" t="s">
        <v>20</v>
      </c>
    </row>
    <row r="415" spans="1:10" x14ac:dyDescent="0.35">
      <c r="A415" t="s">
        <v>159</v>
      </c>
      <c r="B415" t="s">
        <v>434</v>
      </c>
      <c r="C415" t="s">
        <v>23</v>
      </c>
      <c r="D415" t="s">
        <v>12</v>
      </c>
      <c r="E415" t="s">
        <v>13</v>
      </c>
      <c r="F415">
        <v>-800</v>
      </c>
      <c r="G415">
        <v>6</v>
      </c>
      <c r="H415" t="s">
        <v>67</v>
      </c>
      <c r="I415" t="s">
        <v>44</v>
      </c>
      <c r="J415" t="s">
        <v>20</v>
      </c>
    </row>
    <row r="416" spans="1:10" x14ac:dyDescent="0.35">
      <c r="A416" t="s">
        <v>435</v>
      </c>
      <c r="B416" t="s">
        <v>436</v>
      </c>
      <c r="C416" t="s">
        <v>57</v>
      </c>
      <c r="D416" t="s">
        <v>64</v>
      </c>
      <c r="E416">
        <v>200</v>
      </c>
      <c r="F416">
        <v>-800</v>
      </c>
      <c r="G416">
        <v>95</v>
      </c>
      <c r="H416" t="s">
        <v>40</v>
      </c>
      <c r="I416" t="s">
        <v>19</v>
      </c>
      <c r="J416" t="s">
        <v>15</v>
      </c>
    </row>
    <row r="417" spans="1:10" x14ac:dyDescent="0.35">
      <c r="A417" t="s">
        <v>294</v>
      </c>
      <c r="B417" s="1">
        <v>45828</v>
      </c>
      <c r="C417" t="s">
        <v>48</v>
      </c>
      <c r="D417" t="s">
        <v>37</v>
      </c>
      <c r="E417" t="s">
        <v>13</v>
      </c>
      <c r="F417">
        <v>-800</v>
      </c>
      <c r="G417" t="s">
        <v>24</v>
      </c>
      <c r="H417" t="s">
        <v>29</v>
      </c>
      <c r="I417" t="s">
        <v>14</v>
      </c>
      <c r="J417" t="s">
        <v>30</v>
      </c>
    </row>
    <row r="418" spans="1:10" x14ac:dyDescent="0.35">
      <c r="A418" t="s">
        <v>102</v>
      </c>
      <c r="B418" t="s">
        <v>437</v>
      </c>
      <c r="C418" t="s">
        <v>23</v>
      </c>
      <c r="D418" t="s">
        <v>64</v>
      </c>
      <c r="E418" t="s">
        <v>13</v>
      </c>
      <c r="F418" s="2">
        <v>4500</v>
      </c>
      <c r="G418">
        <v>95</v>
      </c>
      <c r="H418" t="s">
        <v>70</v>
      </c>
      <c r="I418" t="s">
        <v>19</v>
      </c>
      <c r="J418" t="s">
        <v>30</v>
      </c>
    </row>
    <row r="419" spans="1:10" x14ac:dyDescent="0.35">
      <c r="A419" t="s">
        <v>234</v>
      </c>
      <c r="B419" t="s">
        <v>438</v>
      </c>
      <c r="C419" t="s">
        <v>57</v>
      </c>
      <c r="D419" t="s">
        <v>39</v>
      </c>
      <c r="E419">
        <v>2500</v>
      </c>
      <c r="F419" s="2">
        <v>4500</v>
      </c>
      <c r="G419">
        <v>95</v>
      </c>
      <c r="H419" t="s">
        <v>70</v>
      </c>
      <c r="I419" t="s">
        <v>44</v>
      </c>
      <c r="J419" t="s">
        <v>20</v>
      </c>
    </row>
    <row r="420" spans="1:10" x14ac:dyDescent="0.35">
      <c r="A420" t="s">
        <v>439</v>
      </c>
      <c r="B420" s="1">
        <v>45788</v>
      </c>
      <c r="D420" t="s">
        <v>28</v>
      </c>
      <c r="E420" t="s">
        <v>13</v>
      </c>
      <c r="F420">
        <v>39988</v>
      </c>
      <c r="G420">
        <v>6</v>
      </c>
      <c r="H420" t="s">
        <v>29</v>
      </c>
      <c r="I420" t="s">
        <v>46</v>
      </c>
      <c r="J420" t="s">
        <v>42</v>
      </c>
    </row>
    <row r="421" spans="1:10" x14ac:dyDescent="0.35">
      <c r="A421" t="s">
        <v>225</v>
      </c>
      <c r="B421" s="1">
        <v>45882</v>
      </c>
      <c r="C421" t="s">
        <v>57</v>
      </c>
      <c r="D421" t="s">
        <v>39</v>
      </c>
      <c r="E421">
        <v>-12</v>
      </c>
      <c r="F421">
        <v>-800</v>
      </c>
      <c r="G421">
        <v>6</v>
      </c>
      <c r="H421" t="s">
        <v>67</v>
      </c>
      <c r="I421" t="s">
        <v>19</v>
      </c>
      <c r="J421" t="s">
        <v>20</v>
      </c>
    </row>
    <row r="422" spans="1:10" x14ac:dyDescent="0.35">
      <c r="A422" t="s">
        <v>294</v>
      </c>
      <c r="B422" s="1">
        <v>45822</v>
      </c>
      <c r="C422" t="s">
        <v>27</v>
      </c>
      <c r="D422" t="s">
        <v>37</v>
      </c>
      <c r="E422">
        <v>116</v>
      </c>
      <c r="F422">
        <v>850000</v>
      </c>
      <c r="G422">
        <v>95</v>
      </c>
      <c r="H422" t="s">
        <v>67</v>
      </c>
      <c r="I422" t="s">
        <v>46</v>
      </c>
      <c r="J422" t="s">
        <v>15</v>
      </c>
    </row>
    <row r="423" spans="1:10" x14ac:dyDescent="0.35">
      <c r="A423" t="s">
        <v>440</v>
      </c>
      <c r="B423" t="s">
        <v>441</v>
      </c>
      <c r="C423" t="s">
        <v>17</v>
      </c>
      <c r="D423" t="s">
        <v>37</v>
      </c>
      <c r="E423">
        <v>-12</v>
      </c>
      <c r="F423">
        <v>-800</v>
      </c>
      <c r="G423" t="s">
        <v>24</v>
      </c>
      <c r="H423" t="s">
        <v>40</v>
      </c>
      <c r="I423" t="s">
        <v>19</v>
      </c>
      <c r="J423" t="s">
        <v>42</v>
      </c>
    </row>
    <row r="424" spans="1:10" x14ac:dyDescent="0.35">
      <c r="A424" t="s">
        <v>392</v>
      </c>
      <c r="B424" t="s">
        <v>277</v>
      </c>
      <c r="C424" t="s">
        <v>17</v>
      </c>
      <c r="D424" t="s">
        <v>37</v>
      </c>
      <c r="E424">
        <v>190</v>
      </c>
      <c r="F424" t="s">
        <v>78</v>
      </c>
      <c r="G424">
        <v>12</v>
      </c>
      <c r="H424" t="s">
        <v>40</v>
      </c>
      <c r="I424" t="s">
        <v>19</v>
      </c>
      <c r="J424" t="s">
        <v>74</v>
      </c>
    </row>
    <row r="425" spans="1:10" x14ac:dyDescent="0.35">
      <c r="A425" t="s">
        <v>358</v>
      </c>
      <c r="B425" s="1">
        <v>45915</v>
      </c>
      <c r="C425" t="s">
        <v>48</v>
      </c>
      <c r="D425" t="s">
        <v>37</v>
      </c>
      <c r="E425" t="s">
        <v>13</v>
      </c>
      <c r="F425">
        <v>11580</v>
      </c>
      <c r="G425">
        <v>1</v>
      </c>
      <c r="H425" t="s">
        <v>18</v>
      </c>
      <c r="I425" t="s">
        <v>14</v>
      </c>
      <c r="J425" t="s">
        <v>33</v>
      </c>
    </row>
    <row r="426" spans="1:10" x14ac:dyDescent="0.35">
      <c r="A426" t="s">
        <v>286</v>
      </c>
      <c r="B426" s="1">
        <v>45762</v>
      </c>
      <c r="C426" t="s">
        <v>23</v>
      </c>
      <c r="D426" t="s">
        <v>39</v>
      </c>
      <c r="E426">
        <v>-12</v>
      </c>
      <c r="F426">
        <v>-800</v>
      </c>
      <c r="G426" t="s">
        <v>24</v>
      </c>
      <c r="H426" t="s">
        <v>53</v>
      </c>
      <c r="I426" t="s">
        <v>44</v>
      </c>
      <c r="J426" t="s">
        <v>15</v>
      </c>
    </row>
    <row r="427" spans="1:10" x14ac:dyDescent="0.35">
      <c r="A427" t="s">
        <v>207</v>
      </c>
      <c r="B427" s="1">
        <v>45760</v>
      </c>
      <c r="C427" t="s">
        <v>36</v>
      </c>
      <c r="D427" t="s">
        <v>12</v>
      </c>
      <c r="E427">
        <v>-12</v>
      </c>
      <c r="F427" t="s">
        <v>78</v>
      </c>
      <c r="G427">
        <v>2</v>
      </c>
      <c r="H427" t="s">
        <v>49</v>
      </c>
      <c r="I427" t="s">
        <v>14</v>
      </c>
      <c r="J427" t="s">
        <v>33</v>
      </c>
    </row>
    <row r="428" spans="1:10" x14ac:dyDescent="0.35">
      <c r="A428" t="s">
        <v>79</v>
      </c>
      <c r="B428" s="1">
        <v>45915</v>
      </c>
      <c r="D428" t="s">
        <v>73</v>
      </c>
      <c r="E428">
        <v>-12</v>
      </c>
      <c r="F428">
        <v>850000</v>
      </c>
      <c r="G428">
        <v>2</v>
      </c>
      <c r="H428" t="s">
        <v>29</v>
      </c>
      <c r="I428" t="s">
        <v>41</v>
      </c>
      <c r="J428" t="s">
        <v>15</v>
      </c>
    </row>
    <row r="429" spans="1:10" x14ac:dyDescent="0.35">
      <c r="A429" t="s">
        <v>254</v>
      </c>
      <c r="B429" s="1">
        <v>45948</v>
      </c>
      <c r="C429" t="s">
        <v>11</v>
      </c>
      <c r="D429" t="s">
        <v>64</v>
      </c>
      <c r="E429">
        <v>2500</v>
      </c>
      <c r="F429" t="s">
        <v>78</v>
      </c>
      <c r="G429">
        <v>95</v>
      </c>
      <c r="H429" t="s">
        <v>49</v>
      </c>
      <c r="I429" t="s">
        <v>41</v>
      </c>
      <c r="J429" t="s">
        <v>25</v>
      </c>
    </row>
    <row r="430" spans="1:10" x14ac:dyDescent="0.35">
      <c r="A430" t="s">
        <v>442</v>
      </c>
      <c r="B430" s="1">
        <v>45860</v>
      </c>
      <c r="C430" t="s">
        <v>48</v>
      </c>
      <c r="D430" t="s">
        <v>39</v>
      </c>
      <c r="E430">
        <v>2500</v>
      </c>
      <c r="F430" s="2">
        <v>4500</v>
      </c>
      <c r="G430">
        <v>11</v>
      </c>
      <c r="I430" t="s">
        <v>41</v>
      </c>
      <c r="J430" t="s">
        <v>74</v>
      </c>
    </row>
    <row r="431" spans="1:10" x14ac:dyDescent="0.35">
      <c r="A431" t="s">
        <v>269</v>
      </c>
      <c r="B431" t="s">
        <v>443</v>
      </c>
      <c r="C431" t="s">
        <v>11</v>
      </c>
      <c r="D431" t="s">
        <v>28</v>
      </c>
      <c r="E431">
        <v>76</v>
      </c>
      <c r="F431">
        <v>-800</v>
      </c>
      <c r="G431" t="s">
        <v>24</v>
      </c>
      <c r="H431" t="s">
        <v>29</v>
      </c>
      <c r="I431" t="s">
        <v>19</v>
      </c>
      <c r="J431" t="s">
        <v>33</v>
      </c>
    </row>
    <row r="432" spans="1:10" x14ac:dyDescent="0.35">
      <c r="A432" t="s">
        <v>444</v>
      </c>
      <c r="B432" t="s">
        <v>445</v>
      </c>
      <c r="D432" t="s">
        <v>12</v>
      </c>
      <c r="E432">
        <v>-12</v>
      </c>
      <c r="F432">
        <v>28114</v>
      </c>
      <c r="G432" t="s">
        <v>24</v>
      </c>
      <c r="H432" t="s">
        <v>29</v>
      </c>
      <c r="I432" t="s">
        <v>46</v>
      </c>
      <c r="J432" t="s">
        <v>33</v>
      </c>
    </row>
    <row r="433" spans="1:10" x14ac:dyDescent="0.35">
      <c r="A433" t="s">
        <v>446</v>
      </c>
      <c r="B433" s="1">
        <v>45766</v>
      </c>
      <c r="C433" t="s">
        <v>17</v>
      </c>
      <c r="D433" t="s">
        <v>64</v>
      </c>
      <c r="E433">
        <v>-12</v>
      </c>
      <c r="F433" t="s">
        <v>78</v>
      </c>
      <c r="G433">
        <v>7</v>
      </c>
      <c r="H433" t="s">
        <v>49</v>
      </c>
      <c r="I433" t="s">
        <v>50</v>
      </c>
      <c r="J433" t="s">
        <v>33</v>
      </c>
    </row>
    <row r="434" spans="1:10" x14ac:dyDescent="0.35">
      <c r="A434" t="s">
        <v>447</v>
      </c>
      <c r="B434" t="s">
        <v>448</v>
      </c>
      <c r="C434" t="s">
        <v>48</v>
      </c>
      <c r="D434" t="s">
        <v>12</v>
      </c>
      <c r="E434">
        <v>143</v>
      </c>
      <c r="F434">
        <v>-800</v>
      </c>
      <c r="G434" t="s">
        <v>24</v>
      </c>
      <c r="H434" t="s">
        <v>40</v>
      </c>
      <c r="I434" t="s">
        <v>14</v>
      </c>
      <c r="J434" t="s">
        <v>25</v>
      </c>
    </row>
    <row r="435" spans="1:10" x14ac:dyDescent="0.35">
      <c r="A435" t="s">
        <v>449</v>
      </c>
      <c r="B435" s="1">
        <v>45974</v>
      </c>
      <c r="C435" t="s">
        <v>23</v>
      </c>
      <c r="D435" t="s">
        <v>39</v>
      </c>
      <c r="E435" t="s">
        <v>13</v>
      </c>
      <c r="F435">
        <v>30719</v>
      </c>
      <c r="G435" t="s">
        <v>24</v>
      </c>
      <c r="H435" t="s">
        <v>67</v>
      </c>
      <c r="I435" t="s">
        <v>46</v>
      </c>
      <c r="J435" t="s">
        <v>20</v>
      </c>
    </row>
    <row r="436" spans="1:10" x14ac:dyDescent="0.35">
      <c r="A436" t="s">
        <v>88</v>
      </c>
      <c r="B436" t="s">
        <v>330</v>
      </c>
      <c r="D436" t="s">
        <v>12</v>
      </c>
      <c r="E436">
        <v>2500</v>
      </c>
      <c r="F436" t="s">
        <v>78</v>
      </c>
      <c r="G436" t="s">
        <v>24</v>
      </c>
      <c r="H436" t="s">
        <v>70</v>
      </c>
      <c r="I436" t="s">
        <v>46</v>
      </c>
      <c r="J436" t="s">
        <v>25</v>
      </c>
    </row>
    <row r="437" spans="1:10" x14ac:dyDescent="0.35">
      <c r="A437" t="s">
        <v>139</v>
      </c>
      <c r="B437" s="1">
        <v>45688</v>
      </c>
      <c r="C437" t="s">
        <v>11</v>
      </c>
      <c r="D437" t="s">
        <v>89</v>
      </c>
      <c r="E437" t="s">
        <v>13</v>
      </c>
      <c r="F437">
        <v>850000</v>
      </c>
      <c r="G437" t="s">
        <v>24</v>
      </c>
      <c r="H437" t="s">
        <v>29</v>
      </c>
      <c r="I437" t="s">
        <v>14</v>
      </c>
      <c r="J437" t="s">
        <v>42</v>
      </c>
    </row>
    <row r="438" spans="1:10" x14ac:dyDescent="0.35">
      <c r="A438" t="s">
        <v>450</v>
      </c>
      <c r="B438" s="1">
        <v>45695</v>
      </c>
      <c r="C438" t="s">
        <v>11</v>
      </c>
      <c r="D438" t="s">
        <v>28</v>
      </c>
      <c r="E438" t="s">
        <v>13</v>
      </c>
      <c r="F438">
        <v>-800</v>
      </c>
      <c r="G438" t="s">
        <v>24</v>
      </c>
      <c r="H438" t="s">
        <v>53</v>
      </c>
      <c r="I438" t="s">
        <v>44</v>
      </c>
      <c r="J438" t="s">
        <v>30</v>
      </c>
    </row>
    <row r="439" spans="1:10" x14ac:dyDescent="0.35">
      <c r="A439" t="s">
        <v>451</v>
      </c>
      <c r="B439" t="s">
        <v>452</v>
      </c>
      <c r="D439" t="s">
        <v>64</v>
      </c>
      <c r="E439">
        <v>2500</v>
      </c>
      <c r="F439">
        <v>850000</v>
      </c>
      <c r="G439" t="s">
        <v>24</v>
      </c>
      <c r="H439" t="s">
        <v>67</v>
      </c>
      <c r="I439" t="s">
        <v>19</v>
      </c>
      <c r="J439" t="s">
        <v>20</v>
      </c>
    </row>
    <row r="440" spans="1:10" x14ac:dyDescent="0.35">
      <c r="A440" t="s">
        <v>168</v>
      </c>
      <c r="B440" s="1">
        <v>45971</v>
      </c>
      <c r="C440" t="s">
        <v>48</v>
      </c>
      <c r="D440" t="s">
        <v>37</v>
      </c>
      <c r="E440">
        <v>110</v>
      </c>
      <c r="F440" t="s">
        <v>78</v>
      </c>
      <c r="G440">
        <v>10</v>
      </c>
      <c r="H440" t="s">
        <v>67</v>
      </c>
      <c r="I440" t="s">
        <v>14</v>
      </c>
      <c r="J440" t="s">
        <v>33</v>
      </c>
    </row>
    <row r="441" spans="1:10" x14ac:dyDescent="0.35">
      <c r="A441" t="s">
        <v>453</v>
      </c>
      <c r="B441" t="s">
        <v>454</v>
      </c>
      <c r="C441" t="s">
        <v>76</v>
      </c>
      <c r="D441" t="s">
        <v>37</v>
      </c>
      <c r="E441">
        <v>-12</v>
      </c>
      <c r="F441">
        <v>-800</v>
      </c>
      <c r="G441">
        <v>95</v>
      </c>
      <c r="H441" t="s">
        <v>18</v>
      </c>
      <c r="I441" t="s">
        <v>46</v>
      </c>
      <c r="J441" t="s">
        <v>25</v>
      </c>
    </row>
    <row r="442" spans="1:10" x14ac:dyDescent="0.35">
      <c r="A442" t="s">
        <v>455</v>
      </c>
      <c r="B442" s="1">
        <v>45900</v>
      </c>
      <c r="C442" t="s">
        <v>36</v>
      </c>
      <c r="D442" t="s">
        <v>37</v>
      </c>
      <c r="E442">
        <v>144</v>
      </c>
      <c r="F442">
        <v>-800</v>
      </c>
      <c r="G442" t="s">
        <v>24</v>
      </c>
      <c r="I442" t="s">
        <v>50</v>
      </c>
      <c r="J442" t="s">
        <v>25</v>
      </c>
    </row>
    <row r="443" spans="1:10" x14ac:dyDescent="0.35">
      <c r="A443">
        <v>1404</v>
      </c>
      <c r="B443" s="1">
        <v>45939</v>
      </c>
      <c r="C443" t="s">
        <v>36</v>
      </c>
      <c r="D443" t="s">
        <v>73</v>
      </c>
      <c r="E443" t="s">
        <v>13</v>
      </c>
      <c r="F443">
        <v>11534</v>
      </c>
      <c r="G443" t="s">
        <v>24</v>
      </c>
      <c r="H443" t="s">
        <v>49</v>
      </c>
      <c r="I443" t="s">
        <v>50</v>
      </c>
      <c r="J443" t="s">
        <v>25</v>
      </c>
    </row>
    <row r="444" spans="1:10" x14ac:dyDescent="0.35">
      <c r="A444" t="s">
        <v>338</v>
      </c>
      <c r="B444" t="s">
        <v>456</v>
      </c>
      <c r="C444" t="s">
        <v>57</v>
      </c>
      <c r="D444" t="s">
        <v>39</v>
      </c>
      <c r="E444">
        <v>-12</v>
      </c>
      <c r="F444">
        <v>42905</v>
      </c>
      <c r="G444">
        <v>95</v>
      </c>
      <c r="H444" t="s">
        <v>53</v>
      </c>
      <c r="I444" t="s">
        <v>46</v>
      </c>
      <c r="J444" t="s">
        <v>15</v>
      </c>
    </row>
    <row r="445" spans="1:10" x14ac:dyDescent="0.35">
      <c r="A445" t="s">
        <v>457</v>
      </c>
      <c r="B445" t="s">
        <v>138</v>
      </c>
      <c r="C445" t="s">
        <v>11</v>
      </c>
      <c r="D445" t="s">
        <v>28</v>
      </c>
      <c r="E445" t="s">
        <v>13</v>
      </c>
      <c r="F445">
        <v>44651</v>
      </c>
      <c r="G445" t="s">
        <v>24</v>
      </c>
      <c r="H445" t="s">
        <v>53</v>
      </c>
      <c r="I445" t="s">
        <v>50</v>
      </c>
      <c r="J445" t="s">
        <v>42</v>
      </c>
    </row>
    <row r="446" spans="1:10" x14ac:dyDescent="0.35">
      <c r="A446" t="s">
        <v>458</v>
      </c>
      <c r="B446" t="s">
        <v>459</v>
      </c>
      <c r="C446" t="s">
        <v>57</v>
      </c>
      <c r="D446" t="s">
        <v>89</v>
      </c>
      <c r="E446" t="s">
        <v>13</v>
      </c>
      <c r="F446">
        <v>850000</v>
      </c>
      <c r="G446">
        <v>95</v>
      </c>
      <c r="H446" t="s">
        <v>49</v>
      </c>
      <c r="I446" t="s">
        <v>41</v>
      </c>
      <c r="J446" t="s">
        <v>33</v>
      </c>
    </row>
    <row r="447" spans="1:10" x14ac:dyDescent="0.35">
      <c r="A447" t="s">
        <v>397</v>
      </c>
      <c r="B447" t="s">
        <v>460</v>
      </c>
      <c r="D447" t="s">
        <v>37</v>
      </c>
      <c r="E447">
        <v>51</v>
      </c>
      <c r="F447">
        <v>-800</v>
      </c>
      <c r="G447" t="s">
        <v>24</v>
      </c>
      <c r="H447" t="s">
        <v>29</v>
      </c>
      <c r="I447" t="s">
        <v>14</v>
      </c>
      <c r="J447" t="s">
        <v>42</v>
      </c>
    </row>
    <row r="448" spans="1:10" x14ac:dyDescent="0.35">
      <c r="A448" t="s">
        <v>461</v>
      </c>
      <c r="B448" s="1">
        <v>45751</v>
      </c>
      <c r="C448" t="s">
        <v>11</v>
      </c>
      <c r="D448" t="s">
        <v>32</v>
      </c>
      <c r="E448">
        <v>172</v>
      </c>
      <c r="F448">
        <v>-800</v>
      </c>
      <c r="G448" t="s">
        <v>24</v>
      </c>
      <c r="H448" t="s">
        <v>40</v>
      </c>
      <c r="I448" t="s">
        <v>14</v>
      </c>
      <c r="J448" t="s">
        <v>42</v>
      </c>
    </row>
    <row r="449" spans="1:10" x14ac:dyDescent="0.35">
      <c r="A449" t="s">
        <v>370</v>
      </c>
      <c r="B449" t="s">
        <v>462</v>
      </c>
      <c r="C449" t="s">
        <v>57</v>
      </c>
      <c r="D449" t="s">
        <v>89</v>
      </c>
      <c r="E449">
        <v>120</v>
      </c>
      <c r="F449" t="s">
        <v>78</v>
      </c>
      <c r="G449" t="s">
        <v>24</v>
      </c>
      <c r="H449" t="s">
        <v>67</v>
      </c>
      <c r="I449" t="s">
        <v>14</v>
      </c>
      <c r="J449" t="s">
        <v>30</v>
      </c>
    </row>
    <row r="450" spans="1:10" x14ac:dyDescent="0.35">
      <c r="A450" t="s">
        <v>463</v>
      </c>
      <c r="B450" t="s">
        <v>228</v>
      </c>
      <c r="D450" t="s">
        <v>32</v>
      </c>
      <c r="E450">
        <v>-12</v>
      </c>
      <c r="F450">
        <v>33822</v>
      </c>
      <c r="G450">
        <v>95</v>
      </c>
      <c r="H450" t="s">
        <v>40</v>
      </c>
      <c r="I450" t="s">
        <v>14</v>
      </c>
      <c r="J450" t="s">
        <v>33</v>
      </c>
    </row>
    <row r="451" spans="1:10" x14ac:dyDescent="0.35">
      <c r="A451" t="s">
        <v>464</v>
      </c>
      <c r="B451" t="s">
        <v>226</v>
      </c>
      <c r="C451" t="s">
        <v>11</v>
      </c>
      <c r="D451" t="s">
        <v>32</v>
      </c>
      <c r="E451" t="s">
        <v>13</v>
      </c>
      <c r="F451">
        <v>6333</v>
      </c>
      <c r="G451" t="s">
        <v>24</v>
      </c>
      <c r="I451" t="s">
        <v>44</v>
      </c>
      <c r="J451" t="s">
        <v>20</v>
      </c>
    </row>
    <row r="452" spans="1:10" x14ac:dyDescent="0.35">
      <c r="A452" t="s">
        <v>465</v>
      </c>
      <c r="B452" s="1">
        <v>45910</v>
      </c>
      <c r="C452" t="s">
        <v>57</v>
      </c>
      <c r="D452" t="s">
        <v>37</v>
      </c>
      <c r="E452">
        <v>2500</v>
      </c>
      <c r="F452" t="s">
        <v>78</v>
      </c>
      <c r="G452">
        <v>11</v>
      </c>
      <c r="H452" t="s">
        <v>18</v>
      </c>
      <c r="I452" t="s">
        <v>46</v>
      </c>
      <c r="J452" t="s">
        <v>74</v>
      </c>
    </row>
    <row r="453" spans="1:10" x14ac:dyDescent="0.35">
      <c r="A453" t="s">
        <v>135</v>
      </c>
      <c r="B453" s="1">
        <v>45878</v>
      </c>
      <c r="D453" t="s">
        <v>37</v>
      </c>
      <c r="E453" t="s">
        <v>13</v>
      </c>
      <c r="F453">
        <v>-800</v>
      </c>
      <c r="G453">
        <v>95</v>
      </c>
      <c r="H453" t="s">
        <v>18</v>
      </c>
      <c r="I453" t="s">
        <v>41</v>
      </c>
      <c r="J453" t="s">
        <v>15</v>
      </c>
    </row>
    <row r="454" spans="1:10" x14ac:dyDescent="0.35">
      <c r="A454" t="s">
        <v>285</v>
      </c>
      <c r="B454" t="s">
        <v>466</v>
      </c>
      <c r="C454" t="s">
        <v>17</v>
      </c>
      <c r="D454" t="s">
        <v>39</v>
      </c>
      <c r="E454">
        <v>85</v>
      </c>
      <c r="F454">
        <v>850000</v>
      </c>
      <c r="G454">
        <v>7</v>
      </c>
      <c r="H454" t="s">
        <v>53</v>
      </c>
      <c r="I454" t="s">
        <v>41</v>
      </c>
      <c r="J454" t="s">
        <v>25</v>
      </c>
    </row>
    <row r="455" spans="1:10" x14ac:dyDescent="0.35">
      <c r="A455" t="s">
        <v>315</v>
      </c>
      <c r="B455" s="1">
        <v>45694</v>
      </c>
      <c r="C455" t="s">
        <v>11</v>
      </c>
      <c r="D455" t="s">
        <v>39</v>
      </c>
      <c r="E455">
        <v>82</v>
      </c>
      <c r="F455" s="2">
        <v>4500</v>
      </c>
      <c r="G455">
        <v>95</v>
      </c>
      <c r="H455" t="s">
        <v>40</v>
      </c>
      <c r="I455" t="s">
        <v>14</v>
      </c>
      <c r="J455" t="s">
        <v>33</v>
      </c>
    </row>
    <row r="456" spans="1:10" x14ac:dyDescent="0.35">
      <c r="A456">
        <v>1161</v>
      </c>
      <c r="B456" s="1">
        <v>45966</v>
      </c>
      <c r="C456" t="s">
        <v>23</v>
      </c>
      <c r="D456" t="s">
        <v>73</v>
      </c>
      <c r="E456">
        <v>2500</v>
      </c>
      <c r="F456" t="s">
        <v>78</v>
      </c>
      <c r="G456" t="s">
        <v>24</v>
      </c>
      <c r="H456" t="s">
        <v>29</v>
      </c>
      <c r="I456" t="s">
        <v>44</v>
      </c>
      <c r="J456" t="s">
        <v>20</v>
      </c>
    </row>
    <row r="457" spans="1:10" x14ac:dyDescent="0.35">
      <c r="A457" t="s">
        <v>467</v>
      </c>
      <c r="B457" t="s">
        <v>468</v>
      </c>
      <c r="C457" t="s">
        <v>11</v>
      </c>
      <c r="D457" t="s">
        <v>37</v>
      </c>
      <c r="E457">
        <v>2500</v>
      </c>
      <c r="F457">
        <v>38024</v>
      </c>
      <c r="G457">
        <v>10</v>
      </c>
      <c r="H457" t="s">
        <v>29</v>
      </c>
      <c r="I457" t="s">
        <v>44</v>
      </c>
      <c r="J457" t="s">
        <v>20</v>
      </c>
    </row>
    <row r="458" spans="1:10" x14ac:dyDescent="0.35">
      <c r="A458" t="s">
        <v>469</v>
      </c>
      <c r="B458" s="1">
        <v>45668</v>
      </c>
      <c r="C458" t="s">
        <v>48</v>
      </c>
      <c r="D458" t="s">
        <v>64</v>
      </c>
      <c r="E458" t="s">
        <v>13</v>
      </c>
      <c r="F458">
        <v>-800</v>
      </c>
      <c r="G458">
        <v>3</v>
      </c>
      <c r="H458" t="s">
        <v>67</v>
      </c>
      <c r="I458" t="s">
        <v>14</v>
      </c>
      <c r="J458" t="s">
        <v>74</v>
      </c>
    </row>
    <row r="459" spans="1:10" x14ac:dyDescent="0.35">
      <c r="A459" t="s">
        <v>318</v>
      </c>
      <c r="B459" s="1">
        <v>45843</v>
      </c>
      <c r="C459" t="s">
        <v>17</v>
      </c>
      <c r="D459" t="s">
        <v>37</v>
      </c>
      <c r="E459">
        <v>-12</v>
      </c>
      <c r="F459">
        <v>-800</v>
      </c>
      <c r="G459">
        <v>14</v>
      </c>
      <c r="H459" t="s">
        <v>53</v>
      </c>
      <c r="I459" t="s">
        <v>41</v>
      </c>
      <c r="J459" t="s">
        <v>33</v>
      </c>
    </row>
    <row r="460" spans="1:10" x14ac:dyDescent="0.35">
      <c r="A460" t="s">
        <v>470</v>
      </c>
      <c r="B460" t="s">
        <v>471</v>
      </c>
      <c r="D460" t="s">
        <v>64</v>
      </c>
      <c r="E460">
        <v>2500</v>
      </c>
      <c r="F460">
        <v>850000</v>
      </c>
      <c r="G460" t="s">
        <v>24</v>
      </c>
      <c r="H460" t="s">
        <v>40</v>
      </c>
      <c r="I460" t="s">
        <v>46</v>
      </c>
      <c r="J460" t="s">
        <v>42</v>
      </c>
    </row>
    <row r="461" spans="1:10" x14ac:dyDescent="0.35">
      <c r="A461" t="s">
        <v>472</v>
      </c>
      <c r="B461" s="1">
        <v>45877</v>
      </c>
      <c r="C461" t="s">
        <v>27</v>
      </c>
      <c r="D461" t="s">
        <v>39</v>
      </c>
      <c r="E461">
        <v>-12</v>
      </c>
      <c r="F461">
        <v>12763</v>
      </c>
      <c r="G461">
        <v>95</v>
      </c>
      <c r="H461" t="s">
        <v>67</v>
      </c>
      <c r="I461" t="s">
        <v>46</v>
      </c>
      <c r="J461" t="s">
        <v>20</v>
      </c>
    </row>
    <row r="462" spans="1:10" x14ac:dyDescent="0.35">
      <c r="A462" t="s">
        <v>156</v>
      </c>
      <c r="B462" t="s">
        <v>473</v>
      </c>
      <c r="C462" t="s">
        <v>57</v>
      </c>
      <c r="D462" t="s">
        <v>64</v>
      </c>
      <c r="E462">
        <v>5</v>
      </c>
      <c r="F462">
        <v>9826</v>
      </c>
      <c r="G462">
        <v>95</v>
      </c>
      <c r="H462" t="s">
        <v>49</v>
      </c>
      <c r="I462" t="s">
        <v>46</v>
      </c>
      <c r="J462" t="s">
        <v>30</v>
      </c>
    </row>
    <row r="463" spans="1:10" x14ac:dyDescent="0.35">
      <c r="A463" t="s">
        <v>373</v>
      </c>
      <c r="B463" s="1">
        <v>45813</v>
      </c>
      <c r="C463" t="s">
        <v>23</v>
      </c>
      <c r="D463" t="s">
        <v>12</v>
      </c>
      <c r="E463">
        <v>-12</v>
      </c>
      <c r="F463">
        <v>-800</v>
      </c>
      <c r="G463">
        <v>9</v>
      </c>
      <c r="H463" t="s">
        <v>40</v>
      </c>
      <c r="I463" t="s">
        <v>46</v>
      </c>
      <c r="J463" t="s">
        <v>74</v>
      </c>
    </row>
    <row r="464" spans="1:10" x14ac:dyDescent="0.35">
      <c r="A464" t="s">
        <v>47</v>
      </c>
      <c r="B464" t="s">
        <v>416</v>
      </c>
      <c r="C464" t="s">
        <v>76</v>
      </c>
      <c r="D464" t="s">
        <v>12</v>
      </c>
      <c r="E464">
        <v>-12</v>
      </c>
      <c r="F464" t="s">
        <v>78</v>
      </c>
      <c r="G464">
        <v>6</v>
      </c>
      <c r="H464" t="s">
        <v>18</v>
      </c>
      <c r="I464" t="s">
        <v>14</v>
      </c>
      <c r="J464" t="s">
        <v>25</v>
      </c>
    </row>
    <row r="465" spans="1:10" x14ac:dyDescent="0.35">
      <c r="A465">
        <v>1022</v>
      </c>
      <c r="B465" s="1">
        <v>45878</v>
      </c>
      <c r="C465" t="s">
        <v>36</v>
      </c>
      <c r="D465" t="s">
        <v>12</v>
      </c>
      <c r="E465">
        <v>39</v>
      </c>
      <c r="F465">
        <v>-800</v>
      </c>
      <c r="G465">
        <v>95</v>
      </c>
      <c r="H465" t="s">
        <v>29</v>
      </c>
      <c r="I465" t="s">
        <v>14</v>
      </c>
      <c r="J465" t="s">
        <v>30</v>
      </c>
    </row>
    <row r="466" spans="1:10" x14ac:dyDescent="0.35">
      <c r="A466" t="s">
        <v>114</v>
      </c>
      <c r="B466" s="1">
        <v>45693</v>
      </c>
      <c r="C466" t="s">
        <v>17</v>
      </c>
      <c r="D466" t="s">
        <v>89</v>
      </c>
      <c r="E466">
        <v>115</v>
      </c>
      <c r="F466">
        <v>850000</v>
      </c>
      <c r="G466">
        <v>95</v>
      </c>
      <c r="I466" t="s">
        <v>46</v>
      </c>
      <c r="J466" t="s">
        <v>33</v>
      </c>
    </row>
    <row r="467" spans="1:10" x14ac:dyDescent="0.35">
      <c r="A467" t="s">
        <v>191</v>
      </c>
      <c r="B467" s="1">
        <v>45904</v>
      </c>
      <c r="C467" t="s">
        <v>36</v>
      </c>
      <c r="D467" t="s">
        <v>39</v>
      </c>
      <c r="E467">
        <v>2500</v>
      </c>
      <c r="F467">
        <v>-800</v>
      </c>
      <c r="G467">
        <v>95</v>
      </c>
      <c r="H467" t="s">
        <v>40</v>
      </c>
      <c r="I467" t="s">
        <v>19</v>
      </c>
      <c r="J467" t="s">
        <v>33</v>
      </c>
    </row>
    <row r="468" spans="1:10" x14ac:dyDescent="0.35">
      <c r="A468" t="s">
        <v>168</v>
      </c>
      <c r="B468" t="s">
        <v>474</v>
      </c>
      <c r="D468" t="s">
        <v>12</v>
      </c>
      <c r="E468" t="s">
        <v>13</v>
      </c>
      <c r="F468">
        <v>850000</v>
      </c>
      <c r="G468">
        <v>7</v>
      </c>
      <c r="I468" t="s">
        <v>44</v>
      </c>
      <c r="J468" t="s">
        <v>25</v>
      </c>
    </row>
    <row r="469" spans="1:10" x14ac:dyDescent="0.35">
      <c r="A469" t="s">
        <v>114</v>
      </c>
      <c r="B469" t="s">
        <v>475</v>
      </c>
      <c r="C469" t="s">
        <v>57</v>
      </c>
      <c r="D469" t="s">
        <v>73</v>
      </c>
      <c r="E469">
        <v>-12</v>
      </c>
      <c r="F469">
        <v>-800</v>
      </c>
      <c r="G469">
        <v>12</v>
      </c>
      <c r="H469" t="s">
        <v>49</v>
      </c>
      <c r="I469" t="s">
        <v>19</v>
      </c>
      <c r="J469" t="s">
        <v>74</v>
      </c>
    </row>
    <row r="470" spans="1:10" x14ac:dyDescent="0.35">
      <c r="A470" t="s">
        <v>310</v>
      </c>
      <c r="B470" t="s">
        <v>476</v>
      </c>
      <c r="C470" t="s">
        <v>57</v>
      </c>
      <c r="D470" t="s">
        <v>64</v>
      </c>
      <c r="E470" t="s">
        <v>13</v>
      </c>
      <c r="F470">
        <v>850000</v>
      </c>
      <c r="G470" t="s">
        <v>24</v>
      </c>
      <c r="H470" t="s">
        <v>67</v>
      </c>
      <c r="I470" t="s">
        <v>19</v>
      </c>
      <c r="J470" t="s">
        <v>74</v>
      </c>
    </row>
    <row r="471" spans="1:10" x14ac:dyDescent="0.35">
      <c r="A471">
        <v>1342</v>
      </c>
      <c r="B471" t="s">
        <v>477</v>
      </c>
      <c r="C471" t="s">
        <v>23</v>
      </c>
      <c r="D471" t="s">
        <v>89</v>
      </c>
      <c r="E471">
        <v>-12</v>
      </c>
      <c r="F471">
        <v>-800</v>
      </c>
      <c r="G471">
        <v>13</v>
      </c>
      <c r="H471" t="s">
        <v>49</v>
      </c>
      <c r="I471" t="s">
        <v>46</v>
      </c>
      <c r="J471" t="s">
        <v>25</v>
      </c>
    </row>
    <row r="472" spans="1:10" x14ac:dyDescent="0.35">
      <c r="A472" t="s">
        <v>72</v>
      </c>
      <c r="B472" t="s">
        <v>478</v>
      </c>
      <c r="C472" t="s">
        <v>48</v>
      </c>
      <c r="D472" t="s">
        <v>89</v>
      </c>
      <c r="E472">
        <v>2500</v>
      </c>
      <c r="F472" t="s">
        <v>78</v>
      </c>
      <c r="G472">
        <v>95</v>
      </c>
      <c r="H472" t="s">
        <v>49</v>
      </c>
      <c r="I472" t="s">
        <v>19</v>
      </c>
      <c r="J472" t="s">
        <v>30</v>
      </c>
    </row>
    <row r="473" spans="1:10" x14ac:dyDescent="0.35">
      <c r="A473" t="s">
        <v>461</v>
      </c>
      <c r="B473" t="s">
        <v>479</v>
      </c>
      <c r="C473" t="s">
        <v>27</v>
      </c>
      <c r="D473" t="s">
        <v>89</v>
      </c>
      <c r="E473">
        <v>22</v>
      </c>
      <c r="F473" s="2">
        <v>4500</v>
      </c>
      <c r="G473">
        <v>95</v>
      </c>
      <c r="H473" t="s">
        <v>70</v>
      </c>
      <c r="I473" t="s">
        <v>44</v>
      </c>
      <c r="J473" t="s">
        <v>20</v>
      </c>
    </row>
    <row r="474" spans="1:10" x14ac:dyDescent="0.35">
      <c r="A474" t="s">
        <v>371</v>
      </c>
      <c r="B474" t="s">
        <v>480</v>
      </c>
      <c r="C474" t="s">
        <v>57</v>
      </c>
      <c r="D474" t="s">
        <v>64</v>
      </c>
      <c r="E474">
        <v>2500</v>
      </c>
      <c r="F474">
        <v>850000</v>
      </c>
      <c r="G474" t="s">
        <v>24</v>
      </c>
      <c r="H474" t="s">
        <v>53</v>
      </c>
      <c r="I474" t="s">
        <v>14</v>
      </c>
      <c r="J474" t="s">
        <v>25</v>
      </c>
    </row>
    <row r="475" spans="1:10" x14ac:dyDescent="0.35">
      <c r="A475">
        <v>1393</v>
      </c>
      <c r="B475" s="1">
        <v>45665</v>
      </c>
      <c r="C475" t="s">
        <v>17</v>
      </c>
      <c r="D475" t="s">
        <v>28</v>
      </c>
      <c r="E475" t="s">
        <v>13</v>
      </c>
      <c r="F475">
        <v>-800</v>
      </c>
      <c r="G475" t="s">
        <v>24</v>
      </c>
      <c r="H475" t="s">
        <v>40</v>
      </c>
      <c r="I475" t="s">
        <v>46</v>
      </c>
      <c r="J475" t="s">
        <v>25</v>
      </c>
    </row>
    <row r="476" spans="1:10" x14ac:dyDescent="0.35">
      <c r="A476" t="s">
        <v>481</v>
      </c>
      <c r="B476" t="s">
        <v>138</v>
      </c>
      <c r="C476" t="s">
        <v>27</v>
      </c>
      <c r="D476" t="s">
        <v>37</v>
      </c>
      <c r="E476">
        <v>-12</v>
      </c>
      <c r="F476">
        <v>-800</v>
      </c>
      <c r="G476">
        <v>95</v>
      </c>
      <c r="H476" t="s">
        <v>70</v>
      </c>
      <c r="I476" t="s">
        <v>46</v>
      </c>
      <c r="J476" t="s">
        <v>20</v>
      </c>
    </row>
    <row r="477" spans="1:10" x14ac:dyDescent="0.35">
      <c r="A477" t="s">
        <v>158</v>
      </c>
      <c r="B477" t="s">
        <v>482</v>
      </c>
      <c r="C477" t="s">
        <v>27</v>
      </c>
      <c r="D477" t="s">
        <v>73</v>
      </c>
      <c r="E477">
        <v>-12</v>
      </c>
      <c r="F477">
        <v>35648</v>
      </c>
      <c r="G477" t="s">
        <v>24</v>
      </c>
      <c r="I477" t="s">
        <v>41</v>
      </c>
      <c r="J477" t="s">
        <v>30</v>
      </c>
    </row>
    <row r="478" spans="1:10" x14ac:dyDescent="0.35">
      <c r="A478" t="s">
        <v>125</v>
      </c>
      <c r="B478" s="1">
        <v>45883</v>
      </c>
      <c r="C478" t="s">
        <v>36</v>
      </c>
      <c r="D478" t="s">
        <v>89</v>
      </c>
      <c r="E478">
        <v>119</v>
      </c>
      <c r="F478" s="2">
        <v>4500</v>
      </c>
      <c r="G478">
        <v>95</v>
      </c>
      <c r="H478" t="s">
        <v>70</v>
      </c>
      <c r="I478" t="s">
        <v>46</v>
      </c>
      <c r="J478" t="s">
        <v>25</v>
      </c>
    </row>
    <row r="479" spans="1:10" x14ac:dyDescent="0.35">
      <c r="A479" t="s">
        <v>212</v>
      </c>
      <c r="B479" s="1">
        <v>45830</v>
      </c>
      <c r="D479" t="s">
        <v>64</v>
      </c>
      <c r="E479">
        <v>2500</v>
      </c>
      <c r="F479" t="s">
        <v>78</v>
      </c>
      <c r="G479">
        <v>95</v>
      </c>
      <c r="H479" t="s">
        <v>18</v>
      </c>
      <c r="I479" t="s">
        <v>46</v>
      </c>
      <c r="J479" t="s">
        <v>33</v>
      </c>
    </row>
    <row r="480" spans="1:10" x14ac:dyDescent="0.35">
      <c r="A480" t="s">
        <v>316</v>
      </c>
      <c r="B480" t="s">
        <v>483</v>
      </c>
      <c r="C480" t="s">
        <v>57</v>
      </c>
      <c r="D480" t="s">
        <v>73</v>
      </c>
      <c r="E480">
        <v>-12</v>
      </c>
      <c r="F480" s="2">
        <v>4500</v>
      </c>
      <c r="G480" t="s">
        <v>24</v>
      </c>
      <c r="H480" t="s">
        <v>18</v>
      </c>
      <c r="I480" t="s">
        <v>50</v>
      </c>
      <c r="J480" t="s">
        <v>33</v>
      </c>
    </row>
    <row r="481" spans="1:10" x14ac:dyDescent="0.35">
      <c r="A481" t="s">
        <v>396</v>
      </c>
      <c r="B481" s="1">
        <v>45910</v>
      </c>
      <c r="C481" t="s">
        <v>48</v>
      </c>
      <c r="D481" t="s">
        <v>32</v>
      </c>
      <c r="E481">
        <v>2500</v>
      </c>
      <c r="F481">
        <v>25111</v>
      </c>
      <c r="G481">
        <v>95</v>
      </c>
      <c r="H481" t="s">
        <v>49</v>
      </c>
      <c r="I481" t="s">
        <v>14</v>
      </c>
      <c r="J481" t="s">
        <v>42</v>
      </c>
    </row>
    <row r="482" spans="1:10" x14ac:dyDescent="0.35">
      <c r="A482" t="s">
        <v>45</v>
      </c>
      <c r="B482" s="1">
        <v>46018</v>
      </c>
      <c r="C482" t="s">
        <v>23</v>
      </c>
      <c r="D482" t="s">
        <v>73</v>
      </c>
      <c r="E482" t="s">
        <v>13</v>
      </c>
      <c r="F482">
        <v>48431</v>
      </c>
      <c r="G482">
        <v>95</v>
      </c>
      <c r="H482" t="s">
        <v>49</v>
      </c>
      <c r="I482" t="s">
        <v>50</v>
      </c>
      <c r="J482" t="s">
        <v>25</v>
      </c>
    </row>
    <row r="483" spans="1:10" x14ac:dyDescent="0.35">
      <c r="A483" t="s">
        <v>279</v>
      </c>
      <c r="B483" s="1">
        <v>45854</v>
      </c>
      <c r="C483" t="s">
        <v>57</v>
      </c>
      <c r="D483" t="s">
        <v>12</v>
      </c>
      <c r="E483">
        <v>2500</v>
      </c>
      <c r="F483" s="2">
        <v>4500</v>
      </c>
      <c r="G483">
        <v>7</v>
      </c>
      <c r="I483" t="s">
        <v>50</v>
      </c>
      <c r="J483" t="s">
        <v>15</v>
      </c>
    </row>
    <row r="484" spans="1:10" x14ac:dyDescent="0.35">
      <c r="A484" t="s">
        <v>111</v>
      </c>
      <c r="B484" s="1">
        <v>45883</v>
      </c>
      <c r="C484" t="s">
        <v>76</v>
      </c>
      <c r="D484" t="s">
        <v>64</v>
      </c>
      <c r="E484">
        <v>2500</v>
      </c>
      <c r="F484">
        <v>25835</v>
      </c>
      <c r="G484">
        <v>7</v>
      </c>
      <c r="H484" t="s">
        <v>49</v>
      </c>
      <c r="I484" t="s">
        <v>14</v>
      </c>
      <c r="J484" t="s">
        <v>74</v>
      </c>
    </row>
    <row r="485" spans="1:10" x14ac:dyDescent="0.35">
      <c r="A485" t="s">
        <v>484</v>
      </c>
      <c r="B485" t="s">
        <v>485</v>
      </c>
      <c r="D485" t="s">
        <v>64</v>
      </c>
      <c r="E485" t="s">
        <v>13</v>
      </c>
      <c r="F485" s="2">
        <v>4500</v>
      </c>
      <c r="G485" t="s">
        <v>24</v>
      </c>
      <c r="H485" t="s">
        <v>70</v>
      </c>
      <c r="I485" t="s">
        <v>50</v>
      </c>
      <c r="J485" t="s">
        <v>30</v>
      </c>
    </row>
    <row r="486" spans="1:10" x14ac:dyDescent="0.35">
      <c r="A486" t="s">
        <v>486</v>
      </c>
      <c r="B486" s="1">
        <v>45891</v>
      </c>
      <c r="C486" t="s">
        <v>36</v>
      </c>
      <c r="D486" t="s">
        <v>32</v>
      </c>
      <c r="E486" t="s">
        <v>13</v>
      </c>
      <c r="F486" s="2">
        <v>4500</v>
      </c>
      <c r="G486" t="s">
        <v>24</v>
      </c>
      <c r="H486" t="s">
        <v>40</v>
      </c>
      <c r="I486" t="s">
        <v>14</v>
      </c>
      <c r="J486" t="s">
        <v>42</v>
      </c>
    </row>
    <row r="487" spans="1:10" x14ac:dyDescent="0.35">
      <c r="A487" t="s">
        <v>487</v>
      </c>
      <c r="B487" s="1">
        <v>45955</v>
      </c>
      <c r="C487" t="s">
        <v>17</v>
      </c>
      <c r="D487" t="s">
        <v>39</v>
      </c>
      <c r="E487">
        <v>2500</v>
      </c>
      <c r="F487">
        <v>-800</v>
      </c>
      <c r="G487" t="s">
        <v>24</v>
      </c>
      <c r="I487" t="s">
        <v>46</v>
      </c>
      <c r="J487" t="s">
        <v>30</v>
      </c>
    </row>
    <row r="488" spans="1:10" x14ac:dyDescent="0.35">
      <c r="A488" t="s">
        <v>488</v>
      </c>
      <c r="B488" s="1">
        <v>45987</v>
      </c>
      <c r="C488" t="s">
        <v>17</v>
      </c>
      <c r="D488" t="s">
        <v>12</v>
      </c>
      <c r="E488">
        <v>53</v>
      </c>
      <c r="F488">
        <v>-800</v>
      </c>
      <c r="G488">
        <v>95</v>
      </c>
      <c r="H488" t="s">
        <v>49</v>
      </c>
      <c r="I488" t="s">
        <v>14</v>
      </c>
      <c r="J488" t="s">
        <v>74</v>
      </c>
    </row>
    <row r="489" spans="1:10" x14ac:dyDescent="0.35">
      <c r="A489" t="s">
        <v>489</v>
      </c>
      <c r="B489" s="1">
        <v>45964</v>
      </c>
      <c r="C489" t="s">
        <v>11</v>
      </c>
      <c r="D489" t="s">
        <v>12</v>
      </c>
      <c r="E489" t="s">
        <v>13</v>
      </c>
      <c r="F489">
        <v>28998</v>
      </c>
      <c r="G489">
        <v>95</v>
      </c>
      <c r="H489" t="s">
        <v>29</v>
      </c>
      <c r="I489" t="s">
        <v>46</v>
      </c>
      <c r="J489" t="s">
        <v>42</v>
      </c>
    </row>
    <row r="490" spans="1:10" x14ac:dyDescent="0.35">
      <c r="A490" t="s">
        <v>122</v>
      </c>
      <c r="B490" s="1">
        <v>45743</v>
      </c>
      <c r="C490" t="s">
        <v>36</v>
      </c>
      <c r="D490" t="s">
        <v>32</v>
      </c>
      <c r="E490" t="s">
        <v>13</v>
      </c>
      <c r="F490" s="2">
        <v>4500</v>
      </c>
      <c r="G490" t="s">
        <v>24</v>
      </c>
      <c r="I490" t="s">
        <v>41</v>
      </c>
      <c r="J490" t="s">
        <v>33</v>
      </c>
    </row>
    <row r="491" spans="1:10" x14ac:dyDescent="0.35">
      <c r="A491" t="s">
        <v>133</v>
      </c>
      <c r="B491" t="s">
        <v>468</v>
      </c>
      <c r="C491" t="s">
        <v>27</v>
      </c>
      <c r="D491" t="s">
        <v>89</v>
      </c>
      <c r="E491" t="s">
        <v>13</v>
      </c>
      <c r="F491">
        <v>850000</v>
      </c>
      <c r="G491" t="s">
        <v>24</v>
      </c>
      <c r="H491" t="s">
        <v>70</v>
      </c>
      <c r="I491" t="s">
        <v>41</v>
      </c>
      <c r="J491" t="s">
        <v>25</v>
      </c>
    </row>
    <row r="492" spans="1:10" x14ac:dyDescent="0.35">
      <c r="A492" t="s">
        <v>490</v>
      </c>
      <c r="B492" s="1">
        <v>45850</v>
      </c>
      <c r="C492" t="s">
        <v>17</v>
      </c>
      <c r="D492" t="s">
        <v>32</v>
      </c>
      <c r="E492">
        <v>33</v>
      </c>
      <c r="F492">
        <v>2322</v>
      </c>
      <c r="G492" t="s">
        <v>24</v>
      </c>
      <c r="I492" t="s">
        <v>50</v>
      </c>
      <c r="J492" t="s">
        <v>30</v>
      </c>
    </row>
    <row r="493" spans="1:10" x14ac:dyDescent="0.35">
      <c r="A493" t="s">
        <v>72</v>
      </c>
      <c r="B493" t="s">
        <v>491</v>
      </c>
      <c r="C493" t="s">
        <v>76</v>
      </c>
      <c r="D493" t="s">
        <v>89</v>
      </c>
      <c r="E493">
        <v>112</v>
      </c>
      <c r="F493" s="2">
        <v>4500</v>
      </c>
      <c r="G493">
        <v>5</v>
      </c>
      <c r="I493" t="s">
        <v>19</v>
      </c>
      <c r="J493" t="s">
        <v>30</v>
      </c>
    </row>
    <row r="494" spans="1:10" x14ac:dyDescent="0.35">
      <c r="A494" t="s">
        <v>199</v>
      </c>
      <c r="B494" s="1">
        <v>45928</v>
      </c>
      <c r="C494" t="s">
        <v>57</v>
      </c>
      <c r="D494" t="s">
        <v>12</v>
      </c>
      <c r="E494">
        <v>-12</v>
      </c>
      <c r="F494">
        <v>850000</v>
      </c>
      <c r="G494" t="s">
        <v>24</v>
      </c>
      <c r="H494" t="s">
        <v>18</v>
      </c>
      <c r="I494" t="s">
        <v>41</v>
      </c>
      <c r="J494" t="s">
        <v>25</v>
      </c>
    </row>
    <row r="495" spans="1:10" x14ac:dyDescent="0.35">
      <c r="A495" t="s">
        <v>167</v>
      </c>
      <c r="B495" s="1">
        <v>45976</v>
      </c>
      <c r="D495" t="s">
        <v>89</v>
      </c>
      <c r="E495">
        <v>2500</v>
      </c>
      <c r="F495">
        <v>-800</v>
      </c>
      <c r="G495">
        <v>8</v>
      </c>
      <c r="H495" t="s">
        <v>49</v>
      </c>
      <c r="I495" t="s">
        <v>46</v>
      </c>
      <c r="J495" t="s">
        <v>25</v>
      </c>
    </row>
    <row r="496" spans="1:10" x14ac:dyDescent="0.35">
      <c r="A496" t="s">
        <v>319</v>
      </c>
      <c r="B496" s="1">
        <v>46015</v>
      </c>
      <c r="D496" t="s">
        <v>39</v>
      </c>
      <c r="E496">
        <v>166</v>
      </c>
      <c r="F496">
        <v>850000</v>
      </c>
      <c r="G496">
        <v>95</v>
      </c>
      <c r="H496" t="s">
        <v>40</v>
      </c>
      <c r="I496" t="s">
        <v>14</v>
      </c>
      <c r="J496" t="s">
        <v>20</v>
      </c>
    </row>
    <row r="497" spans="1:10" x14ac:dyDescent="0.35">
      <c r="A497" t="s">
        <v>492</v>
      </c>
      <c r="B497" t="s">
        <v>493</v>
      </c>
      <c r="C497" t="s">
        <v>76</v>
      </c>
      <c r="D497" t="s">
        <v>37</v>
      </c>
      <c r="E497" t="s">
        <v>13</v>
      </c>
      <c r="F497" s="2">
        <v>4500</v>
      </c>
      <c r="G497">
        <v>6</v>
      </c>
      <c r="H497" t="s">
        <v>40</v>
      </c>
      <c r="I497" t="s">
        <v>41</v>
      </c>
      <c r="J497" t="s">
        <v>20</v>
      </c>
    </row>
    <row r="498" spans="1:10" x14ac:dyDescent="0.35">
      <c r="A498" t="s">
        <v>494</v>
      </c>
      <c r="B498" s="1">
        <v>45738</v>
      </c>
      <c r="C498" t="s">
        <v>48</v>
      </c>
      <c r="D498" t="s">
        <v>12</v>
      </c>
      <c r="E498">
        <v>2500</v>
      </c>
      <c r="F498" t="s">
        <v>78</v>
      </c>
      <c r="G498">
        <v>95</v>
      </c>
      <c r="H498" t="s">
        <v>18</v>
      </c>
      <c r="I498" t="s">
        <v>41</v>
      </c>
      <c r="J498" t="s">
        <v>42</v>
      </c>
    </row>
    <row r="499" spans="1:10" x14ac:dyDescent="0.35">
      <c r="A499" t="s">
        <v>62</v>
      </c>
      <c r="B499" s="1">
        <v>45870</v>
      </c>
      <c r="C499" t="s">
        <v>23</v>
      </c>
      <c r="D499" t="s">
        <v>89</v>
      </c>
      <c r="E499">
        <v>-12</v>
      </c>
      <c r="F499" s="2">
        <v>4500</v>
      </c>
      <c r="G499" t="s">
        <v>24</v>
      </c>
      <c r="H499" t="s">
        <v>40</v>
      </c>
      <c r="I499" t="s">
        <v>41</v>
      </c>
      <c r="J499" t="s">
        <v>42</v>
      </c>
    </row>
    <row r="500" spans="1:10" x14ac:dyDescent="0.35">
      <c r="A500" t="s">
        <v>339</v>
      </c>
      <c r="B500" t="s">
        <v>495</v>
      </c>
      <c r="C500" t="s">
        <v>17</v>
      </c>
      <c r="D500" t="s">
        <v>89</v>
      </c>
      <c r="E500">
        <v>2500</v>
      </c>
      <c r="F500" t="s">
        <v>78</v>
      </c>
      <c r="G500" t="s">
        <v>24</v>
      </c>
      <c r="H500" t="s">
        <v>67</v>
      </c>
      <c r="I500" t="s">
        <v>50</v>
      </c>
      <c r="J500" t="s">
        <v>25</v>
      </c>
    </row>
    <row r="501" spans="1:10" x14ac:dyDescent="0.35">
      <c r="A501" t="s">
        <v>360</v>
      </c>
      <c r="B501" s="1">
        <v>45707</v>
      </c>
      <c r="C501" t="s">
        <v>23</v>
      </c>
      <c r="D501" t="s">
        <v>28</v>
      </c>
      <c r="E501">
        <v>-12</v>
      </c>
      <c r="F501" t="s">
        <v>78</v>
      </c>
      <c r="G501">
        <v>4</v>
      </c>
      <c r="H501" t="s">
        <v>40</v>
      </c>
      <c r="I501" t="s">
        <v>19</v>
      </c>
      <c r="J501"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4A620-4AE2-449A-9635-4B62BAC6BBA6}">
  <dimension ref="A1:V501"/>
  <sheetViews>
    <sheetView zoomScale="64" workbookViewId="0">
      <selection activeCell="B2" sqref="B2"/>
    </sheetView>
  </sheetViews>
  <sheetFormatPr defaultRowHeight="14.5" x14ac:dyDescent="0.35"/>
  <cols>
    <col min="1" max="1" width="10.54296875" customWidth="1"/>
    <col min="2" max="2" width="10" customWidth="1"/>
    <col min="3" max="3" width="12.7265625" customWidth="1"/>
    <col min="4" max="4" width="12.1796875" customWidth="1"/>
    <col min="5" max="6" width="11.36328125" customWidth="1"/>
    <col min="7" max="7" width="15.81640625" style="4" customWidth="1"/>
    <col min="8" max="8" width="11.36328125" customWidth="1"/>
    <col min="9" max="9" width="10.54296875" bestFit="1" customWidth="1"/>
    <col min="10" max="10" width="15.453125" bestFit="1" customWidth="1"/>
    <col min="11" max="11" width="10.1796875" customWidth="1"/>
    <col min="12" max="12" width="11.453125" style="5" customWidth="1"/>
    <col min="13" max="13" width="14.54296875" customWidth="1"/>
    <col min="14" max="14" width="12.453125" customWidth="1"/>
    <col min="15" max="15" width="17.6328125" customWidth="1"/>
    <col min="16" max="16" width="14" customWidth="1"/>
    <col min="17" max="17" width="13.54296875" bestFit="1" customWidth="1"/>
    <col min="18" max="18" width="15.453125" bestFit="1" customWidth="1"/>
    <col min="22" max="22" width="15" bestFit="1" customWidth="1"/>
  </cols>
  <sheetData>
    <row r="1" spans="1:22" x14ac:dyDescent="0.35">
      <c r="A1" t="s">
        <v>0</v>
      </c>
      <c r="B1" t="s">
        <v>496</v>
      </c>
      <c r="C1" t="s">
        <v>1</v>
      </c>
      <c r="D1" t="s">
        <v>497</v>
      </c>
      <c r="E1" t="s">
        <v>498</v>
      </c>
      <c r="F1" t="s">
        <v>499</v>
      </c>
      <c r="G1" s="4" t="s">
        <v>501</v>
      </c>
      <c r="H1" t="s">
        <v>500</v>
      </c>
      <c r="I1" t="s">
        <v>2</v>
      </c>
      <c r="J1" t="s">
        <v>3</v>
      </c>
      <c r="K1" t="s">
        <v>4</v>
      </c>
      <c r="L1" s="5" t="s">
        <v>5</v>
      </c>
      <c r="M1" t="s">
        <v>6</v>
      </c>
      <c r="N1" t="s">
        <v>7</v>
      </c>
      <c r="O1" t="s">
        <v>8</v>
      </c>
      <c r="P1" t="s">
        <v>9</v>
      </c>
      <c r="Q1" t="s">
        <v>507</v>
      </c>
      <c r="R1" t="s">
        <v>508</v>
      </c>
    </row>
    <row r="2" spans="1:22" x14ac:dyDescent="0.35">
      <c r="A2" t="s">
        <v>10</v>
      </c>
      <c r="B2" t="str">
        <f>IF(LEFT(A2,3)="APX",A2,"APX" &amp; A2)</f>
        <v>APX1273</v>
      </c>
      <c r="C2" s="3">
        <v>45756</v>
      </c>
      <c r="D2" s="3">
        <f>IF(ISNUMBER(C2), C2, DATE(RIGHT(C2, 4), MATCH(LEFT(C2, 3), {"Jan","Feb","Mar","Apr","May","Jun","Jul","Aug","Sep","Oct","Nov","Dec"}, 0), MID(C2, 5, 2)))</f>
        <v>45756</v>
      </c>
      <c r="E2" s="3" t="str">
        <f>TEXT(D2,"mmm")</f>
        <v>Apr</v>
      </c>
      <c r="F2" s="3" t="str">
        <f>TEXT(D2,"yyyy")</f>
        <v>2025</v>
      </c>
      <c r="G2" s="4">
        <f>MONTH(D2)</f>
        <v>4</v>
      </c>
      <c r="H2" s="3" t="str">
        <f>IF(G2&lt;=3,"Q-1",IF(G2&lt;=6,"Q-2",IF(G2&lt;9,"Q-3","Q-4")))</f>
        <v>Q-2</v>
      </c>
      <c r="I2" t="s">
        <v>11</v>
      </c>
      <c r="J2" t="s">
        <v>32</v>
      </c>
      <c r="K2">
        <v>30</v>
      </c>
      <c r="L2" s="5">
        <v>4500</v>
      </c>
      <c r="M2">
        <v>2</v>
      </c>
      <c r="N2" t="s">
        <v>560</v>
      </c>
      <c r="O2" t="s">
        <v>14</v>
      </c>
      <c r="P2" t="s">
        <v>15</v>
      </c>
      <c r="Q2" s="5">
        <f>Table1[[#This Row],[Quantity]]*Table1[[#This Row],[Unit_Price]]</f>
        <v>135000</v>
      </c>
      <c r="R2" t="str">
        <f>IF(Table1[[#This Row],[Delivery_Days]]&lt;=3,"Fast",IF(Table1[[#This Row],[Delivery_Days]]&lt;=7,"Normal","Late"))</f>
        <v>Fast</v>
      </c>
    </row>
    <row r="3" spans="1:22" x14ac:dyDescent="0.35">
      <c r="A3" t="s">
        <v>16</v>
      </c>
      <c r="B3" t="str">
        <f t="shared" ref="B3:B66" si="0">IF(LEFT(A3,3)="APX",A3,"APX" &amp; A3)</f>
        <v>APX1357</v>
      </c>
      <c r="C3" s="3">
        <v>45742</v>
      </c>
      <c r="D3" s="3">
        <f>IF(ISNUMBER(C3), C3, DATE(RIGHT(C3, 4), MATCH(LEFT(C3, 3), {"Jan","Feb","Mar","Apr","May","Jun","Jul","Aug","Sep","Oct","Nov","Dec"}, 0), MID(C3, 5, 2)))</f>
        <v>45742</v>
      </c>
      <c r="E3" s="3" t="str">
        <f t="shared" ref="E3:E66" si="1">TEXT(D3,"mmm")</f>
        <v>Mar</v>
      </c>
      <c r="F3" s="3" t="str">
        <f t="shared" ref="F3:F66" si="2">TEXT(D3,"yyyy")</f>
        <v>2025</v>
      </c>
      <c r="G3" s="4">
        <f t="shared" ref="G3:G66" si="3">MONTH(D3)</f>
        <v>3</v>
      </c>
      <c r="H3" s="3" t="str">
        <f t="shared" ref="H3:H66" si="4">IF(G3&lt;=3,"Q-1",IF(G3&lt;=6,"Q-2",IF(G3&lt;9,"Q-3","Q-4")))</f>
        <v>Q-1</v>
      </c>
      <c r="I3" t="s">
        <v>17</v>
      </c>
      <c r="J3" t="s">
        <v>32</v>
      </c>
      <c r="K3">
        <v>2500</v>
      </c>
      <c r="L3" s="5">
        <v>47538</v>
      </c>
      <c r="M3">
        <v>95</v>
      </c>
      <c r="N3" t="s">
        <v>70</v>
      </c>
      <c r="O3" t="s">
        <v>506</v>
      </c>
      <c r="P3" t="s">
        <v>25</v>
      </c>
      <c r="Q3" s="5">
        <f>Table1[[#This Row],[Quantity]]*Table1[[#This Row],[Unit_Price]]</f>
        <v>118845000</v>
      </c>
      <c r="R3" t="str">
        <f>IF(Table1[[#This Row],[Delivery_Days]]&lt;=3,"Fast",IF(Table1[[#This Row],[Delivery_Days]]&lt;=7,"Normal","Late"))</f>
        <v>Late</v>
      </c>
    </row>
    <row r="4" spans="1:22" x14ac:dyDescent="0.35">
      <c r="A4" t="s">
        <v>21</v>
      </c>
      <c r="B4" t="str">
        <f t="shared" si="0"/>
        <v>APX1176</v>
      </c>
      <c r="C4" s="3" t="s">
        <v>22</v>
      </c>
      <c r="D4" s="3">
        <f>IF(ISNUMBER(C4), C4, DATE(RIGHT(C4, 4), MATCH(LEFT(C4, 3), {"Jan","Feb","Mar","Apr","May","Jun","Jul","Aug","Sep","Oct","Nov","Dec"}, 0), MID(C4, 5, 2)))</f>
        <v>45727</v>
      </c>
      <c r="E4" s="3" t="str">
        <f t="shared" si="1"/>
        <v>Mar</v>
      </c>
      <c r="F4" s="3" t="str">
        <f t="shared" si="2"/>
        <v>2025</v>
      </c>
      <c r="G4" s="4">
        <f t="shared" si="3"/>
        <v>3</v>
      </c>
      <c r="H4" s="3" t="str">
        <f t="shared" si="4"/>
        <v>Q-1</v>
      </c>
      <c r="I4" t="s">
        <v>502</v>
      </c>
      <c r="J4" t="s">
        <v>32</v>
      </c>
      <c r="K4">
        <v>47</v>
      </c>
      <c r="L4" s="5">
        <v>800</v>
      </c>
      <c r="M4">
        <v>3</v>
      </c>
      <c r="N4" t="s">
        <v>70</v>
      </c>
      <c r="O4" t="s">
        <v>14</v>
      </c>
      <c r="P4" t="s">
        <v>25</v>
      </c>
      <c r="Q4" s="5">
        <f>Table1[[#This Row],[Quantity]]*Table1[[#This Row],[Unit_Price]]</f>
        <v>37600</v>
      </c>
      <c r="R4" t="str">
        <f>IF(Table1[[#This Row],[Delivery_Days]]&lt;=3,"Fast",IF(Table1[[#This Row],[Delivery_Days]]&lt;=7,"Normal","Late"))</f>
        <v>Fast</v>
      </c>
    </row>
    <row r="5" spans="1:22" x14ac:dyDescent="0.35">
      <c r="A5" t="s">
        <v>26</v>
      </c>
      <c r="B5" t="str">
        <f t="shared" si="0"/>
        <v>APX1213</v>
      </c>
      <c r="C5" s="3">
        <v>45819</v>
      </c>
      <c r="D5" s="3">
        <f>IF(ISNUMBER(C5), C5, DATE(RIGHT(C5, 4), MATCH(LEFT(C5, 3), {"Jan","Feb","Mar","Apr","May","Jun","Jul","Aug","Sep","Oct","Nov","Dec"}, 0), MID(C5, 5, 2)))</f>
        <v>45819</v>
      </c>
      <c r="E5" s="3" t="str">
        <f t="shared" si="1"/>
        <v>Jun</v>
      </c>
      <c r="F5" s="3" t="str">
        <f t="shared" si="2"/>
        <v>2025</v>
      </c>
      <c r="G5" s="4">
        <f t="shared" si="3"/>
        <v>6</v>
      </c>
      <c r="H5" s="3" t="str">
        <f t="shared" si="4"/>
        <v>Q-2</v>
      </c>
      <c r="I5" t="s">
        <v>76</v>
      </c>
      <c r="J5" t="s">
        <v>28</v>
      </c>
      <c r="K5">
        <v>30</v>
      </c>
      <c r="L5" s="5">
        <v>850000</v>
      </c>
      <c r="M5">
        <v>3</v>
      </c>
      <c r="N5" t="s">
        <v>504</v>
      </c>
      <c r="O5" t="s">
        <v>506</v>
      </c>
      <c r="P5" t="s">
        <v>25</v>
      </c>
      <c r="Q5" s="5">
        <f>Table1[[#This Row],[Quantity]]*Table1[[#This Row],[Unit_Price]]</f>
        <v>25500000</v>
      </c>
      <c r="R5" t="str">
        <f>IF(Table1[[#This Row],[Delivery_Days]]&lt;=3,"Fast",IF(Table1[[#This Row],[Delivery_Days]]&lt;=7,"Normal","Late"))</f>
        <v>Fast</v>
      </c>
      <c r="V5" s="5"/>
    </row>
    <row r="6" spans="1:22" x14ac:dyDescent="0.35">
      <c r="A6">
        <v>1019</v>
      </c>
      <c r="B6" t="str">
        <f t="shared" si="0"/>
        <v>APX1019</v>
      </c>
      <c r="C6" s="3">
        <v>45772</v>
      </c>
      <c r="D6" s="3">
        <f>IF(ISNUMBER(C6), C6, DATE(RIGHT(C6, 4), MATCH(LEFT(C6, 3), {"Jan","Feb","Mar","Apr","May","Jun","Jul","Aug","Sep","Oct","Nov","Dec"}, 0), MID(C6, 5, 2)))</f>
        <v>45772</v>
      </c>
      <c r="E6" s="3" t="str">
        <f t="shared" si="1"/>
        <v>Apr</v>
      </c>
      <c r="F6" s="3" t="str">
        <f t="shared" si="2"/>
        <v>2025</v>
      </c>
      <c r="G6" s="4">
        <f t="shared" si="3"/>
        <v>4</v>
      </c>
      <c r="H6" s="3" t="str">
        <f t="shared" si="4"/>
        <v>Q-2</v>
      </c>
      <c r="I6" t="s">
        <v>502</v>
      </c>
      <c r="J6" t="s">
        <v>32</v>
      </c>
      <c r="K6">
        <v>12</v>
      </c>
      <c r="L6" s="5">
        <v>800</v>
      </c>
      <c r="M6">
        <v>3</v>
      </c>
      <c r="N6" t="s">
        <v>560</v>
      </c>
      <c r="O6" t="s">
        <v>506</v>
      </c>
      <c r="P6" t="s">
        <v>25</v>
      </c>
      <c r="Q6" s="5">
        <f>Table1[[#This Row],[Quantity]]*Table1[[#This Row],[Unit_Price]]</f>
        <v>9600</v>
      </c>
      <c r="R6" t="str">
        <f>IF(Table1[[#This Row],[Delivery_Days]]&lt;=3,"Fast",IF(Table1[[#This Row],[Delivery_Days]]&lt;=7,"Normal","Late"))</f>
        <v>Fast</v>
      </c>
    </row>
    <row r="7" spans="1:22" x14ac:dyDescent="0.35">
      <c r="A7" t="s">
        <v>34</v>
      </c>
      <c r="B7" t="str">
        <f t="shared" si="0"/>
        <v>APX1412</v>
      </c>
      <c r="C7" s="3">
        <v>45798</v>
      </c>
      <c r="D7" s="3">
        <f>IF(ISNUMBER(C7), C7, DATE(RIGHT(C7, 4), MATCH(LEFT(C7, 3), {"Jan","Feb","Mar","Apr","May","Jun","Jul","Aug","Sep","Oct","Nov","Dec"}, 0), MID(C7, 5, 2)))</f>
        <v>45798</v>
      </c>
      <c r="E7" s="3" t="str">
        <f t="shared" si="1"/>
        <v>May</v>
      </c>
      <c r="F7" s="3" t="str">
        <f t="shared" si="2"/>
        <v>2025</v>
      </c>
      <c r="G7" s="4">
        <f t="shared" si="3"/>
        <v>5</v>
      </c>
      <c r="H7" s="3" t="str">
        <f t="shared" si="4"/>
        <v>Q-2</v>
      </c>
      <c r="I7" t="s">
        <v>76</v>
      </c>
      <c r="J7" t="s">
        <v>32</v>
      </c>
      <c r="K7">
        <v>30</v>
      </c>
      <c r="L7" s="5">
        <v>4500</v>
      </c>
      <c r="M7">
        <v>3</v>
      </c>
      <c r="N7" t="s">
        <v>504</v>
      </c>
      <c r="O7" t="s">
        <v>14</v>
      </c>
      <c r="P7" t="s">
        <v>25</v>
      </c>
      <c r="Q7" s="5">
        <f>Table1[[#This Row],[Quantity]]*Table1[[#This Row],[Unit_Price]]</f>
        <v>135000</v>
      </c>
      <c r="R7" t="str">
        <f>IF(Table1[[#This Row],[Delivery_Days]]&lt;=3,"Fast",IF(Table1[[#This Row],[Delivery_Days]]&lt;=7,"Normal","Late"))</f>
        <v>Fast</v>
      </c>
    </row>
    <row r="8" spans="1:22" x14ac:dyDescent="0.35">
      <c r="A8" t="s">
        <v>38</v>
      </c>
      <c r="B8" t="str">
        <f t="shared" si="0"/>
        <v>APX1194</v>
      </c>
      <c r="C8" s="3">
        <v>45958</v>
      </c>
      <c r="D8" s="3">
        <f>IF(ISNUMBER(C8), C8, DATE(RIGHT(C8, 4), MATCH(LEFT(C8, 3), {"Jan","Feb","Mar","Apr","May","Jun","Jul","Aug","Sep","Oct","Nov","Dec"}, 0), MID(C8, 5, 2)))</f>
        <v>45958</v>
      </c>
      <c r="E8" s="3" t="str">
        <f t="shared" si="1"/>
        <v>Oct</v>
      </c>
      <c r="F8" s="3" t="str">
        <f t="shared" si="2"/>
        <v>2025</v>
      </c>
      <c r="G8" s="4">
        <f t="shared" si="3"/>
        <v>10</v>
      </c>
      <c r="H8" s="3" t="str">
        <f t="shared" si="4"/>
        <v>Q-4</v>
      </c>
      <c r="I8" t="s">
        <v>76</v>
      </c>
      <c r="J8" t="s">
        <v>39</v>
      </c>
      <c r="K8">
        <v>30</v>
      </c>
      <c r="L8" s="5">
        <v>850000</v>
      </c>
      <c r="M8">
        <v>3</v>
      </c>
      <c r="N8" t="s">
        <v>40</v>
      </c>
      <c r="O8" t="s">
        <v>506</v>
      </c>
      <c r="P8" t="s">
        <v>42</v>
      </c>
      <c r="Q8" s="5">
        <f>Table1[[#This Row],[Quantity]]*Table1[[#This Row],[Unit_Price]]</f>
        <v>25500000</v>
      </c>
      <c r="R8" t="str">
        <f>IF(Table1[[#This Row],[Delivery_Days]]&lt;=3,"Fast",IF(Table1[[#This Row],[Delivery_Days]]&lt;=7,"Normal","Late"))</f>
        <v>Fast</v>
      </c>
    </row>
    <row r="9" spans="1:22" x14ac:dyDescent="0.35">
      <c r="A9" t="s">
        <v>43</v>
      </c>
      <c r="B9" t="str">
        <f t="shared" si="0"/>
        <v>APX1050</v>
      </c>
      <c r="C9" s="3">
        <v>46002</v>
      </c>
      <c r="D9" s="3">
        <f>IF(ISNUMBER(C9), C9, DATE(RIGHT(C9, 4), MATCH(LEFT(C9, 3), {"Jan","Feb","Mar","Apr","May","Jun","Jul","Aug","Sep","Oct","Nov","Dec"}, 0), MID(C9, 5, 2)))</f>
        <v>46002</v>
      </c>
      <c r="E9" s="3" t="str">
        <f t="shared" si="1"/>
        <v>Dec</v>
      </c>
      <c r="F9" s="3" t="str">
        <f t="shared" si="2"/>
        <v>2025</v>
      </c>
      <c r="G9" s="4">
        <f t="shared" si="3"/>
        <v>12</v>
      </c>
      <c r="H9" s="3" t="str">
        <f t="shared" si="4"/>
        <v>Q-4</v>
      </c>
      <c r="I9" t="s">
        <v>502</v>
      </c>
      <c r="J9" t="s">
        <v>32</v>
      </c>
      <c r="K9">
        <v>30</v>
      </c>
      <c r="L9" s="5">
        <v>4500</v>
      </c>
      <c r="M9">
        <v>3</v>
      </c>
      <c r="N9" t="s">
        <v>560</v>
      </c>
      <c r="O9" t="s">
        <v>506</v>
      </c>
      <c r="P9" t="s">
        <v>25</v>
      </c>
      <c r="Q9" s="5">
        <f>Table1[[#This Row],[Quantity]]*Table1[[#This Row],[Unit_Price]]</f>
        <v>135000</v>
      </c>
      <c r="R9" t="str">
        <f>IF(Table1[[#This Row],[Delivery_Days]]&lt;=3,"Fast",IF(Table1[[#This Row],[Delivery_Days]]&lt;=7,"Normal","Late"))</f>
        <v>Fast</v>
      </c>
    </row>
    <row r="10" spans="1:22" x14ac:dyDescent="0.35">
      <c r="A10" t="s">
        <v>45</v>
      </c>
      <c r="B10" t="str">
        <f t="shared" si="0"/>
        <v>APX1277</v>
      </c>
      <c r="C10" s="3">
        <v>45734</v>
      </c>
      <c r="D10" s="3">
        <f>IF(ISNUMBER(C10), C10, DATE(RIGHT(C10, 4), MATCH(LEFT(C10, 3), {"Jan","Feb","Mar","Apr","May","Jun","Jul","Aug","Sep","Oct","Nov","Dec"}, 0), MID(C10, 5, 2)))</f>
        <v>45734</v>
      </c>
      <c r="E10" s="3" t="str">
        <f t="shared" si="1"/>
        <v>Mar</v>
      </c>
      <c r="F10" s="3" t="str">
        <f t="shared" si="2"/>
        <v>2025</v>
      </c>
      <c r="G10" s="4">
        <f t="shared" si="3"/>
        <v>3</v>
      </c>
      <c r="H10" s="3" t="str">
        <f t="shared" si="4"/>
        <v>Q-1</v>
      </c>
      <c r="I10" t="s">
        <v>502</v>
      </c>
      <c r="J10" t="s">
        <v>28</v>
      </c>
      <c r="K10">
        <v>30</v>
      </c>
      <c r="L10" s="5">
        <v>30900</v>
      </c>
      <c r="M10">
        <v>95</v>
      </c>
      <c r="N10" t="s">
        <v>560</v>
      </c>
      <c r="O10" t="s">
        <v>46</v>
      </c>
      <c r="P10" t="s">
        <v>25</v>
      </c>
      <c r="Q10" s="5">
        <f>Table1[[#This Row],[Quantity]]*Table1[[#This Row],[Unit_Price]]</f>
        <v>927000</v>
      </c>
      <c r="R10" t="str">
        <f>IF(Table1[[#This Row],[Delivery_Days]]&lt;=3,"Fast",IF(Table1[[#This Row],[Delivery_Days]]&lt;=7,"Normal","Late"))</f>
        <v>Late</v>
      </c>
    </row>
    <row r="11" spans="1:22" x14ac:dyDescent="0.35">
      <c r="A11" t="s">
        <v>47</v>
      </c>
      <c r="B11" t="str">
        <f t="shared" si="0"/>
        <v>APX1336</v>
      </c>
      <c r="C11" s="3">
        <v>45749</v>
      </c>
      <c r="D11" s="3">
        <f>IF(ISNUMBER(C11), C11, DATE(RIGHT(C11, 4), MATCH(LEFT(C11, 3), {"Jan","Feb","Mar","Apr","May","Jun","Jul","Aug","Sep","Oct","Nov","Dec"}, 0), MID(C11, 5, 2)))</f>
        <v>45749</v>
      </c>
      <c r="E11" s="3" t="str">
        <f t="shared" si="1"/>
        <v>Apr</v>
      </c>
      <c r="F11" s="3" t="str">
        <f t="shared" si="2"/>
        <v>2025</v>
      </c>
      <c r="G11" s="4">
        <f t="shared" si="3"/>
        <v>4</v>
      </c>
      <c r="H11" s="3" t="str">
        <f t="shared" si="4"/>
        <v>Q-2</v>
      </c>
      <c r="I11" t="s">
        <v>503</v>
      </c>
      <c r="J11" t="s">
        <v>32</v>
      </c>
      <c r="K11">
        <v>136</v>
      </c>
      <c r="L11" s="5">
        <v>6469</v>
      </c>
      <c r="M11">
        <v>2</v>
      </c>
      <c r="N11" t="s">
        <v>40</v>
      </c>
      <c r="O11" t="s">
        <v>506</v>
      </c>
      <c r="P11" t="s">
        <v>25</v>
      </c>
      <c r="Q11" s="5">
        <f>Table1[[#This Row],[Quantity]]*Table1[[#This Row],[Unit_Price]]</f>
        <v>879784</v>
      </c>
      <c r="R11" t="str">
        <f>IF(Table1[[#This Row],[Delivery_Days]]&lt;=3,"Fast",IF(Table1[[#This Row],[Delivery_Days]]&lt;=7,"Normal","Late"))</f>
        <v>Fast</v>
      </c>
    </row>
    <row r="12" spans="1:22" x14ac:dyDescent="0.35">
      <c r="A12" t="s">
        <v>51</v>
      </c>
      <c r="B12" t="str">
        <f t="shared" si="0"/>
        <v>APX1049</v>
      </c>
      <c r="C12" s="3">
        <v>45932</v>
      </c>
      <c r="D12" s="3">
        <f>IF(ISNUMBER(C12), C12, DATE(RIGHT(C12, 4), MATCH(LEFT(C12, 3), {"Jan","Feb","Mar","Apr","May","Jun","Jul","Aug","Sep","Oct","Nov","Dec"}, 0), MID(C12, 5, 2)))</f>
        <v>45932</v>
      </c>
      <c r="E12" s="3" t="str">
        <f t="shared" si="1"/>
        <v>Oct</v>
      </c>
      <c r="F12" s="3" t="str">
        <f t="shared" si="2"/>
        <v>2025</v>
      </c>
      <c r="G12" s="4">
        <f t="shared" si="3"/>
        <v>10</v>
      </c>
      <c r="H12" s="3" t="str">
        <f t="shared" si="4"/>
        <v>Q-4</v>
      </c>
      <c r="I12" t="s">
        <v>502</v>
      </c>
      <c r="J12" t="s">
        <v>39</v>
      </c>
      <c r="K12">
        <v>30</v>
      </c>
      <c r="L12" s="5">
        <v>850000</v>
      </c>
      <c r="M12">
        <v>95</v>
      </c>
      <c r="N12" t="s">
        <v>40</v>
      </c>
      <c r="O12" t="s">
        <v>506</v>
      </c>
      <c r="P12" t="s">
        <v>25</v>
      </c>
      <c r="Q12" s="5">
        <f>Table1[[#This Row],[Quantity]]*Table1[[#This Row],[Unit_Price]]</f>
        <v>25500000</v>
      </c>
      <c r="R12" t="str">
        <f>IF(Table1[[#This Row],[Delivery_Days]]&lt;=3,"Fast",IF(Table1[[#This Row],[Delivery_Days]]&lt;=7,"Normal","Late"))</f>
        <v>Late</v>
      </c>
    </row>
    <row r="13" spans="1:22" x14ac:dyDescent="0.35">
      <c r="A13" t="s">
        <v>10</v>
      </c>
      <c r="B13" t="str">
        <f t="shared" si="0"/>
        <v>APX1273</v>
      </c>
      <c r="C13" s="3">
        <v>45967</v>
      </c>
      <c r="D13" s="3">
        <f>IF(ISNUMBER(C13), C13, DATE(RIGHT(C13, 4), MATCH(LEFT(C13, 3), {"Jan","Feb","Mar","Apr","May","Jun","Jul","Aug","Sep","Oct","Nov","Dec"}, 0), MID(C13, 5, 2)))</f>
        <v>45967</v>
      </c>
      <c r="E13" s="3" t="str">
        <f t="shared" si="1"/>
        <v>Nov</v>
      </c>
      <c r="F13" s="3" t="str">
        <f t="shared" si="2"/>
        <v>2025</v>
      </c>
      <c r="G13" s="4">
        <f t="shared" si="3"/>
        <v>11</v>
      </c>
      <c r="H13" s="3" t="str">
        <f t="shared" si="4"/>
        <v>Q-4</v>
      </c>
      <c r="I13" t="s">
        <v>11</v>
      </c>
      <c r="J13" t="s">
        <v>32</v>
      </c>
      <c r="K13">
        <v>51</v>
      </c>
      <c r="L13" s="5">
        <v>4500</v>
      </c>
      <c r="M13">
        <v>3</v>
      </c>
      <c r="N13" t="s">
        <v>504</v>
      </c>
      <c r="O13" t="s">
        <v>46</v>
      </c>
      <c r="P13" t="s">
        <v>25</v>
      </c>
      <c r="Q13" s="5">
        <f>Table1[[#This Row],[Quantity]]*Table1[[#This Row],[Unit_Price]]</f>
        <v>229500</v>
      </c>
      <c r="R13" t="str">
        <f>IF(Table1[[#This Row],[Delivery_Days]]&lt;=3,"Fast",IF(Table1[[#This Row],[Delivery_Days]]&lt;=7,"Normal","Late"))</f>
        <v>Fast</v>
      </c>
    </row>
    <row r="14" spans="1:22" x14ac:dyDescent="0.35">
      <c r="A14" t="s">
        <v>52</v>
      </c>
      <c r="B14" t="str">
        <f t="shared" si="0"/>
        <v>APX1309</v>
      </c>
      <c r="C14" s="3">
        <v>45948</v>
      </c>
      <c r="D14" s="3">
        <f>IF(ISNUMBER(C14), C14, DATE(RIGHT(C14, 4), MATCH(LEFT(C14, 3), {"Jan","Feb","Mar","Apr","May","Jun","Jul","Aug","Sep","Oct","Nov","Dec"}, 0), MID(C14, 5, 2)))</f>
        <v>45948</v>
      </c>
      <c r="E14" s="3" t="str">
        <f t="shared" si="1"/>
        <v>Oct</v>
      </c>
      <c r="F14" s="3" t="str">
        <f t="shared" si="2"/>
        <v>2025</v>
      </c>
      <c r="G14" s="4">
        <f t="shared" si="3"/>
        <v>10</v>
      </c>
      <c r="H14" s="3" t="str">
        <f t="shared" si="4"/>
        <v>Q-4</v>
      </c>
      <c r="I14" t="s">
        <v>17</v>
      </c>
      <c r="J14" t="s">
        <v>32</v>
      </c>
      <c r="K14">
        <v>26</v>
      </c>
      <c r="L14" s="5">
        <v>800</v>
      </c>
      <c r="M14">
        <v>3</v>
      </c>
      <c r="N14" t="s">
        <v>505</v>
      </c>
      <c r="O14" t="s">
        <v>46</v>
      </c>
      <c r="P14" t="s">
        <v>25</v>
      </c>
      <c r="Q14" s="5">
        <f>Table1[[#This Row],[Quantity]]*Table1[[#This Row],[Unit_Price]]</f>
        <v>20800</v>
      </c>
      <c r="R14" t="str">
        <f>IF(Table1[[#This Row],[Delivery_Days]]&lt;=3,"Fast",IF(Table1[[#This Row],[Delivery_Days]]&lt;=7,"Normal","Late"))</f>
        <v>Fast</v>
      </c>
    </row>
    <row r="15" spans="1:22" x14ac:dyDescent="0.35">
      <c r="A15">
        <v>1002</v>
      </c>
      <c r="B15" t="str">
        <f t="shared" si="0"/>
        <v>APX1002</v>
      </c>
      <c r="C15" s="3" t="s">
        <v>54</v>
      </c>
      <c r="D15" s="3">
        <f>IF(ISNUMBER(C15), C15, DATE(RIGHT(C15, 4), MATCH(LEFT(C15, 3), {"Jan","Feb","Mar","Apr","May","Jun","Jul","Aug","Sep","Oct","Nov","Dec"}, 0), MID(C15, 5, 2)))</f>
        <v>45899</v>
      </c>
      <c r="E15" s="3" t="str">
        <f t="shared" si="1"/>
        <v>Aug</v>
      </c>
      <c r="F15" s="3" t="str">
        <f t="shared" si="2"/>
        <v>2025</v>
      </c>
      <c r="G15" s="4">
        <f t="shared" si="3"/>
        <v>8</v>
      </c>
      <c r="H15" s="3" t="str">
        <f t="shared" si="4"/>
        <v>Q-3</v>
      </c>
      <c r="I15" t="s">
        <v>17</v>
      </c>
      <c r="J15" t="s">
        <v>32</v>
      </c>
      <c r="K15">
        <v>30</v>
      </c>
      <c r="L15" s="5">
        <v>16574</v>
      </c>
      <c r="M15">
        <v>3</v>
      </c>
      <c r="N15" t="s">
        <v>70</v>
      </c>
      <c r="O15" t="s">
        <v>506</v>
      </c>
      <c r="P15" t="s">
        <v>25</v>
      </c>
      <c r="Q15" s="5">
        <f>Table1[[#This Row],[Quantity]]*Table1[[#This Row],[Unit_Price]]</f>
        <v>497220</v>
      </c>
      <c r="R15" t="str">
        <f>IF(Table1[[#This Row],[Delivery_Days]]&lt;=3,"Fast",IF(Table1[[#This Row],[Delivery_Days]]&lt;=7,"Normal","Late"))</f>
        <v>Fast</v>
      </c>
    </row>
    <row r="16" spans="1:22" x14ac:dyDescent="0.35">
      <c r="A16" t="s">
        <v>55</v>
      </c>
      <c r="B16" t="str">
        <f t="shared" si="0"/>
        <v>APX1271</v>
      </c>
      <c r="C16" s="3" t="s">
        <v>56</v>
      </c>
      <c r="D16" s="3">
        <f>IF(ISNUMBER(C16), C16, DATE(RIGHT(C16, 4), MATCH(LEFT(C16, 3), {"Jan","Feb","Mar","Apr","May","Jun","Jul","Aug","Sep","Oct","Nov","Dec"}, 0), MID(C16, 5, 2)))</f>
        <v>45996</v>
      </c>
      <c r="E16" s="3" t="str">
        <f t="shared" si="1"/>
        <v>Dec</v>
      </c>
      <c r="F16" s="3" t="str">
        <f t="shared" si="2"/>
        <v>2025</v>
      </c>
      <c r="G16" s="4">
        <f t="shared" si="3"/>
        <v>12</v>
      </c>
      <c r="H16" s="3" t="str">
        <f t="shared" si="4"/>
        <v>Q-4</v>
      </c>
      <c r="I16" t="s">
        <v>503</v>
      </c>
      <c r="J16" t="s">
        <v>28</v>
      </c>
      <c r="K16">
        <v>30</v>
      </c>
      <c r="L16" s="5">
        <v>6024</v>
      </c>
      <c r="M16">
        <v>3</v>
      </c>
      <c r="N16" t="s">
        <v>40</v>
      </c>
      <c r="O16" t="s">
        <v>506</v>
      </c>
      <c r="P16" t="s">
        <v>15</v>
      </c>
      <c r="Q16" s="5">
        <f>Table1[[#This Row],[Quantity]]*Table1[[#This Row],[Unit_Price]]</f>
        <v>180720</v>
      </c>
      <c r="R16" t="str">
        <f>IF(Table1[[#This Row],[Delivery_Days]]&lt;=3,"Fast",IF(Table1[[#This Row],[Delivery_Days]]&lt;=7,"Normal","Late"))</f>
        <v>Fast</v>
      </c>
    </row>
    <row r="17" spans="1:18" x14ac:dyDescent="0.35">
      <c r="A17" t="s">
        <v>58</v>
      </c>
      <c r="B17" t="str">
        <f t="shared" si="0"/>
        <v>APX1207</v>
      </c>
      <c r="C17" s="3" t="s">
        <v>59</v>
      </c>
      <c r="D17" s="3">
        <f>IF(ISNUMBER(C17), C17, DATE(RIGHT(C17, 4), MATCH(LEFT(C17, 3), {"Jan","Feb","Mar","Apr","May","Jun","Jul","Aug","Sep","Oct","Nov","Dec"}, 0), MID(C17, 5, 2)))</f>
        <v>45984</v>
      </c>
      <c r="E17" s="3" t="str">
        <f t="shared" si="1"/>
        <v>Nov</v>
      </c>
      <c r="F17" s="3" t="str">
        <f t="shared" si="2"/>
        <v>2025</v>
      </c>
      <c r="G17" s="4">
        <f t="shared" si="3"/>
        <v>11</v>
      </c>
      <c r="H17" s="3" t="str">
        <f t="shared" si="4"/>
        <v>Q-4</v>
      </c>
      <c r="I17" t="s">
        <v>503</v>
      </c>
      <c r="J17" t="s">
        <v>39</v>
      </c>
      <c r="K17">
        <v>2500</v>
      </c>
      <c r="L17" s="5">
        <v>800</v>
      </c>
      <c r="M17">
        <v>12</v>
      </c>
      <c r="N17" t="s">
        <v>504</v>
      </c>
      <c r="O17" t="s">
        <v>14</v>
      </c>
      <c r="P17" t="s">
        <v>25</v>
      </c>
      <c r="Q17" s="5">
        <f>Table1[[#This Row],[Quantity]]*Table1[[#This Row],[Unit_Price]]</f>
        <v>2000000</v>
      </c>
      <c r="R17" t="str">
        <f>IF(Table1[[#This Row],[Delivery_Days]]&lt;=3,"Fast",IF(Table1[[#This Row],[Delivery_Days]]&lt;=7,"Normal","Late"))</f>
        <v>Late</v>
      </c>
    </row>
    <row r="18" spans="1:18" x14ac:dyDescent="0.35">
      <c r="A18" t="s">
        <v>60</v>
      </c>
      <c r="B18" t="str">
        <f t="shared" si="0"/>
        <v>APX1011</v>
      </c>
      <c r="C18" s="3">
        <v>45807</v>
      </c>
      <c r="D18" s="3">
        <f>IF(ISNUMBER(C18), C18, DATE(RIGHT(C18, 4), MATCH(LEFT(C18, 3), {"Jan","Feb","Mar","Apr","May","Jun","Jul","Aug","Sep","Oct","Nov","Dec"}, 0), MID(C18, 5, 2)))</f>
        <v>45807</v>
      </c>
      <c r="E18" s="3" t="str">
        <f t="shared" si="1"/>
        <v>May</v>
      </c>
      <c r="F18" s="3" t="str">
        <f t="shared" si="2"/>
        <v>2025</v>
      </c>
      <c r="G18" s="4">
        <f t="shared" si="3"/>
        <v>5</v>
      </c>
      <c r="H18" s="3" t="str">
        <f t="shared" si="4"/>
        <v>Q-2</v>
      </c>
      <c r="I18" t="s">
        <v>503</v>
      </c>
      <c r="J18" t="s">
        <v>28</v>
      </c>
      <c r="K18">
        <v>12</v>
      </c>
      <c r="L18" s="5">
        <v>4500</v>
      </c>
      <c r="M18">
        <v>95</v>
      </c>
      <c r="N18" t="s">
        <v>40</v>
      </c>
      <c r="O18" t="s">
        <v>506</v>
      </c>
      <c r="P18" t="s">
        <v>25</v>
      </c>
      <c r="Q18" s="5">
        <f>Table1[[#This Row],[Quantity]]*Table1[[#This Row],[Unit_Price]]</f>
        <v>54000</v>
      </c>
      <c r="R18" t="str">
        <f>IF(Table1[[#This Row],[Delivery_Days]]&lt;=3,"Fast",IF(Table1[[#This Row],[Delivery_Days]]&lt;=7,"Normal","Late"))</f>
        <v>Late</v>
      </c>
    </row>
    <row r="19" spans="1:18" x14ac:dyDescent="0.35">
      <c r="A19" t="s">
        <v>61</v>
      </c>
      <c r="B19" t="str">
        <f t="shared" si="0"/>
        <v>APX1088</v>
      </c>
      <c r="C19" s="3">
        <v>45663</v>
      </c>
      <c r="D19" s="3">
        <f>IF(ISNUMBER(C19), C19, DATE(RIGHT(C19, 4), MATCH(LEFT(C19, 3), {"Jan","Feb","Mar","Apr","May","Jun","Jul","Aug","Sep","Oct","Nov","Dec"}, 0), MID(C19, 5, 2)))</f>
        <v>45663</v>
      </c>
      <c r="E19" s="3" t="str">
        <f t="shared" si="1"/>
        <v>Jan</v>
      </c>
      <c r="F19" s="3" t="str">
        <f t="shared" si="2"/>
        <v>2025</v>
      </c>
      <c r="G19" s="4">
        <f t="shared" si="3"/>
        <v>1</v>
      </c>
      <c r="H19" s="3" t="str">
        <f t="shared" si="4"/>
        <v>Q-1</v>
      </c>
      <c r="I19" t="s">
        <v>510</v>
      </c>
      <c r="J19" t="s">
        <v>32</v>
      </c>
      <c r="K19">
        <v>2500</v>
      </c>
      <c r="L19" s="5">
        <v>850000</v>
      </c>
      <c r="M19">
        <v>95</v>
      </c>
      <c r="N19" t="s">
        <v>70</v>
      </c>
      <c r="O19" t="s">
        <v>506</v>
      </c>
      <c r="P19" t="s">
        <v>15</v>
      </c>
      <c r="Q19" s="5">
        <f>Table1[[#This Row],[Quantity]]*Table1[[#This Row],[Unit_Price]]</f>
        <v>2125000000</v>
      </c>
      <c r="R19" t="str">
        <f>IF(Table1[[#This Row],[Delivery_Days]]&lt;=3,"Fast",IF(Table1[[#This Row],[Delivery_Days]]&lt;=7,"Normal","Late"))</f>
        <v>Late</v>
      </c>
    </row>
    <row r="20" spans="1:18" x14ac:dyDescent="0.35">
      <c r="A20" t="s">
        <v>62</v>
      </c>
      <c r="B20" t="str">
        <f t="shared" si="0"/>
        <v>APX1413</v>
      </c>
      <c r="C20" s="3">
        <v>46015</v>
      </c>
      <c r="D20" s="3">
        <f>IF(ISNUMBER(C20), C20, DATE(RIGHT(C20, 4), MATCH(LEFT(C20, 3), {"Jan","Feb","Mar","Apr","May","Jun","Jul","Aug","Sep","Oct","Nov","Dec"}, 0), MID(C20, 5, 2)))</f>
        <v>46015</v>
      </c>
      <c r="E20" s="3" t="str">
        <f t="shared" si="1"/>
        <v>Dec</v>
      </c>
      <c r="F20" s="3" t="str">
        <f t="shared" si="2"/>
        <v>2025</v>
      </c>
      <c r="G20" s="4">
        <f t="shared" si="3"/>
        <v>12</v>
      </c>
      <c r="H20" s="3" t="str">
        <f t="shared" si="4"/>
        <v>Q-4</v>
      </c>
      <c r="I20" t="s">
        <v>503</v>
      </c>
      <c r="J20" t="s">
        <v>64</v>
      </c>
      <c r="K20">
        <v>2500</v>
      </c>
      <c r="L20" s="5">
        <v>3766</v>
      </c>
      <c r="M20">
        <v>3</v>
      </c>
      <c r="N20" t="s">
        <v>70</v>
      </c>
      <c r="O20" t="s">
        <v>506</v>
      </c>
      <c r="P20" t="s">
        <v>25</v>
      </c>
      <c r="Q20" s="5">
        <f>Table1[[#This Row],[Quantity]]*Table1[[#This Row],[Unit_Price]]</f>
        <v>9415000</v>
      </c>
      <c r="R20" t="str">
        <f>IF(Table1[[#This Row],[Delivery_Days]]&lt;=3,"Fast",IF(Table1[[#This Row],[Delivery_Days]]&lt;=7,"Normal","Late"))</f>
        <v>Fast</v>
      </c>
    </row>
    <row r="21" spans="1:18" x14ac:dyDescent="0.35">
      <c r="A21" t="s">
        <v>65</v>
      </c>
      <c r="B21" t="str">
        <f t="shared" si="0"/>
        <v>APX1294</v>
      </c>
      <c r="C21" s="3">
        <v>45948</v>
      </c>
      <c r="D21" s="3">
        <f>IF(ISNUMBER(C21), C21, DATE(RIGHT(C21, 4), MATCH(LEFT(C21, 3), {"Jan","Feb","Mar","Apr","May","Jun","Jul","Aug","Sep","Oct","Nov","Dec"}, 0), MID(C21, 5, 2)))</f>
        <v>45948</v>
      </c>
      <c r="E21" s="3" t="str">
        <f t="shared" si="1"/>
        <v>Oct</v>
      </c>
      <c r="F21" s="3" t="str">
        <f t="shared" si="2"/>
        <v>2025</v>
      </c>
      <c r="G21" s="4">
        <f t="shared" si="3"/>
        <v>10</v>
      </c>
      <c r="H21" s="3" t="str">
        <f t="shared" si="4"/>
        <v>Q-4</v>
      </c>
      <c r="I21" t="s">
        <v>502</v>
      </c>
      <c r="J21" t="s">
        <v>39</v>
      </c>
      <c r="K21">
        <v>12</v>
      </c>
      <c r="L21" s="5">
        <v>850000</v>
      </c>
      <c r="M21">
        <v>95</v>
      </c>
      <c r="N21" t="s">
        <v>40</v>
      </c>
      <c r="O21" t="s">
        <v>46</v>
      </c>
      <c r="P21" t="s">
        <v>25</v>
      </c>
      <c r="Q21" s="5">
        <f>Table1[[#This Row],[Quantity]]*Table1[[#This Row],[Unit_Price]]</f>
        <v>10200000</v>
      </c>
      <c r="R21" t="str">
        <f>IF(Table1[[#This Row],[Delivery_Days]]&lt;=3,"Fast",IF(Table1[[#This Row],[Delivery_Days]]&lt;=7,"Normal","Late"))</f>
        <v>Late</v>
      </c>
    </row>
    <row r="22" spans="1:18" x14ac:dyDescent="0.35">
      <c r="A22" t="s">
        <v>68</v>
      </c>
      <c r="B22" t="str">
        <f t="shared" si="0"/>
        <v>APX1279</v>
      </c>
      <c r="C22" s="3" t="s">
        <v>69</v>
      </c>
      <c r="D22" s="3">
        <f>IF(ISNUMBER(C22), C22, DATE(RIGHT(C22, 4), MATCH(LEFT(C22, 3), {"Jan","Feb","Mar","Apr","May","Jun","Jul","Aug","Sep","Oct","Nov","Dec"}, 0), MID(C22, 5, 2)))</f>
        <v>45855</v>
      </c>
      <c r="E22" s="3" t="str">
        <f t="shared" si="1"/>
        <v>Jul</v>
      </c>
      <c r="F22" s="3" t="str">
        <f t="shared" si="2"/>
        <v>2025</v>
      </c>
      <c r="G22" s="4">
        <f t="shared" si="3"/>
        <v>7</v>
      </c>
      <c r="H22" s="3" t="str">
        <f t="shared" si="4"/>
        <v>Q-3</v>
      </c>
      <c r="I22" t="s">
        <v>503</v>
      </c>
      <c r="J22" t="s">
        <v>32</v>
      </c>
      <c r="K22">
        <v>12</v>
      </c>
      <c r="L22" s="5">
        <v>4500</v>
      </c>
      <c r="M22">
        <v>5</v>
      </c>
      <c r="N22" t="s">
        <v>70</v>
      </c>
      <c r="O22" t="s">
        <v>506</v>
      </c>
      <c r="P22" t="s">
        <v>15</v>
      </c>
      <c r="Q22" s="5">
        <f>Table1[[#This Row],[Quantity]]*Table1[[#This Row],[Unit_Price]]</f>
        <v>54000</v>
      </c>
      <c r="R22" t="str">
        <f>IF(Table1[[#This Row],[Delivery_Days]]&lt;=3,"Fast",IF(Table1[[#This Row],[Delivery_Days]]&lt;=7,"Normal","Late"))</f>
        <v>Normal</v>
      </c>
    </row>
    <row r="23" spans="1:18" x14ac:dyDescent="0.35">
      <c r="A23" t="s">
        <v>71</v>
      </c>
      <c r="B23" t="str">
        <f t="shared" si="0"/>
        <v>APX1377</v>
      </c>
      <c r="C23" s="3">
        <v>45717</v>
      </c>
      <c r="D23" s="3">
        <f>IF(ISNUMBER(C23), C23, DATE(RIGHT(C23, 4), MATCH(LEFT(C23, 3), {"Jan","Feb","Mar","Apr","May","Jun","Jul","Aug","Sep","Oct","Nov","Dec"}, 0), MID(C23, 5, 2)))</f>
        <v>45717</v>
      </c>
      <c r="E23" s="3" t="str">
        <f t="shared" si="1"/>
        <v>Mar</v>
      </c>
      <c r="F23" s="3" t="str">
        <f t="shared" si="2"/>
        <v>2025</v>
      </c>
      <c r="G23" s="4">
        <f t="shared" si="3"/>
        <v>3</v>
      </c>
      <c r="H23" s="3" t="str">
        <f t="shared" si="4"/>
        <v>Q-1</v>
      </c>
      <c r="I23" t="s">
        <v>76</v>
      </c>
      <c r="J23" t="s">
        <v>32</v>
      </c>
      <c r="K23">
        <v>131</v>
      </c>
      <c r="L23" s="5">
        <v>850000</v>
      </c>
      <c r="M23">
        <v>3</v>
      </c>
      <c r="N23" t="s">
        <v>70</v>
      </c>
      <c r="O23" t="s">
        <v>506</v>
      </c>
      <c r="P23" t="s">
        <v>25</v>
      </c>
      <c r="Q23" s="5">
        <f>Table1[[#This Row],[Quantity]]*Table1[[#This Row],[Unit_Price]]</f>
        <v>111350000</v>
      </c>
      <c r="R23" t="str">
        <f>IF(Table1[[#This Row],[Delivery_Days]]&lt;=3,"Fast",IF(Table1[[#This Row],[Delivery_Days]]&lt;=7,"Normal","Late"))</f>
        <v>Fast</v>
      </c>
    </row>
    <row r="24" spans="1:18" x14ac:dyDescent="0.35">
      <c r="A24" t="s">
        <v>72</v>
      </c>
      <c r="B24" t="str">
        <f t="shared" si="0"/>
        <v>APX1246</v>
      </c>
      <c r="C24" s="3">
        <v>45992</v>
      </c>
      <c r="D24" s="3">
        <f>IF(ISNUMBER(C24), C24, DATE(RIGHT(C24, 4), MATCH(LEFT(C24, 3), {"Jan","Feb","Mar","Apr","May","Jun","Jul","Aug","Sep","Oct","Nov","Dec"}, 0), MID(C24, 5, 2)))</f>
        <v>45992</v>
      </c>
      <c r="E24" s="3" t="str">
        <f t="shared" si="1"/>
        <v>Dec</v>
      </c>
      <c r="F24" s="3" t="str">
        <f t="shared" si="2"/>
        <v>2025</v>
      </c>
      <c r="G24" s="4">
        <f t="shared" si="3"/>
        <v>12</v>
      </c>
      <c r="H24" s="3" t="str">
        <f t="shared" si="4"/>
        <v>Q-4</v>
      </c>
      <c r="I24" t="s">
        <v>503</v>
      </c>
      <c r="J24" t="s">
        <v>73</v>
      </c>
      <c r="K24">
        <v>29</v>
      </c>
      <c r="L24" s="5">
        <v>850000</v>
      </c>
      <c r="M24">
        <v>11</v>
      </c>
      <c r="N24" t="s">
        <v>40</v>
      </c>
      <c r="O24" t="s">
        <v>506</v>
      </c>
      <c r="P24" t="s">
        <v>74</v>
      </c>
      <c r="Q24" s="5">
        <f>Table1[[#This Row],[Quantity]]*Table1[[#This Row],[Unit_Price]]</f>
        <v>24650000</v>
      </c>
      <c r="R24" t="str">
        <f>IF(Table1[[#This Row],[Delivery_Days]]&lt;=3,"Fast",IF(Table1[[#This Row],[Delivery_Days]]&lt;=7,"Normal","Late"))</f>
        <v>Late</v>
      </c>
    </row>
    <row r="25" spans="1:18" x14ac:dyDescent="0.35">
      <c r="A25">
        <v>1146</v>
      </c>
      <c r="B25" t="str">
        <f t="shared" si="0"/>
        <v>APX1146</v>
      </c>
      <c r="C25" s="3" t="s">
        <v>75</v>
      </c>
      <c r="D25" s="3">
        <f>IF(ISNUMBER(C25), C25, DATE(RIGHT(C25, 4), MATCH(LEFT(C25, 3), {"Jan","Feb","Mar","Apr","May","Jun","Jul","Aug","Sep","Oct","Nov","Dec"}, 0), MID(C25, 5, 2)))</f>
        <v>45962</v>
      </c>
      <c r="E25" s="3" t="str">
        <f t="shared" si="1"/>
        <v>Nov</v>
      </c>
      <c r="F25" s="3" t="str">
        <f t="shared" si="2"/>
        <v>2025</v>
      </c>
      <c r="G25" s="4">
        <f t="shared" si="3"/>
        <v>11</v>
      </c>
      <c r="H25" s="3" t="str">
        <f t="shared" si="4"/>
        <v>Q-4</v>
      </c>
      <c r="I25" t="s">
        <v>76</v>
      </c>
      <c r="J25" t="s">
        <v>64</v>
      </c>
      <c r="K25">
        <v>30</v>
      </c>
      <c r="L25" s="5">
        <v>20142</v>
      </c>
      <c r="M25">
        <v>14</v>
      </c>
      <c r="N25" t="s">
        <v>40</v>
      </c>
      <c r="O25" t="s">
        <v>506</v>
      </c>
      <c r="P25" t="s">
        <v>25</v>
      </c>
      <c r="Q25" s="5">
        <f>Table1[[#This Row],[Quantity]]*Table1[[#This Row],[Unit_Price]]</f>
        <v>604260</v>
      </c>
      <c r="R25" t="str">
        <f>IF(Table1[[#This Row],[Delivery_Days]]&lt;=3,"Fast",IF(Table1[[#This Row],[Delivery_Days]]&lt;=7,"Normal","Late"))</f>
        <v>Late</v>
      </c>
    </row>
    <row r="26" spans="1:18" x14ac:dyDescent="0.35">
      <c r="A26" t="s">
        <v>77</v>
      </c>
      <c r="B26" t="str">
        <f t="shared" si="0"/>
        <v>APX1322</v>
      </c>
      <c r="C26" s="3">
        <v>45698</v>
      </c>
      <c r="D26" s="3">
        <f>IF(ISNUMBER(C26), C26, DATE(RIGHT(C26, 4), MATCH(LEFT(C26, 3), {"Jan","Feb","Mar","Apr","May","Jun","Jul","Aug","Sep","Oct","Nov","Dec"}, 0), MID(C26, 5, 2)))</f>
        <v>45698</v>
      </c>
      <c r="E26" s="3" t="str">
        <f t="shared" si="1"/>
        <v>Feb</v>
      </c>
      <c r="F26" s="3" t="str">
        <f t="shared" si="2"/>
        <v>2025</v>
      </c>
      <c r="G26" s="4">
        <f t="shared" si="3"/>
        <v>2</v>
      </c>
      <c r="H26" s="3" t="str">
        <f t="shared" si="4"/>
        <v>Q-1</v>
      </c>
      <c r="I26" t="s">
        <v>11</v>
      </c>
      <c r="J26" t="s">
        <v>32</v>
      </c>
      <c r="K26">
        <v>50</v>
      </c>
      <c r="L26" s="5">
        <v>6500</v>
      </c>
      <c r="M26">
        <v>95</v>
      </c>
      <c r="N26" t="s">
        <v>70</v>
      </c>
      <c r="O26" t="s">
        <v>46</v>
      </c>
      <c r="P26" t="s">
        <v>25</v>
      </c>
      <c r="Q26" s="5">
        <f>Table1[[#This Row],[Quantity]]*Table1[[#This Row],[Unit_Price]]</f>
        <v>325000</v>
      </c>
      <c r="R26" t="str">
        <f>IF(Table1[[#This Row],[Delivery_Days]]&lt;=3,"Fast",IF(Table1[[#This Row],[Delivery_Days]]&lt;=7,"Normal","Late"))</f>
        <v>Late</v>
      </c>
    </row>
    <row r="27" spans="1:18" x14ac:dyDescent="0.35">
      <c r="A27" t="s">
        <v>79</v>
      </c>
      <c r="B27" t="str">
        <f t="shared" si="0"/>
        <v>APX1393</v>
      </c>
      <c r="C27" s="3">
        <v>45803</v>
      </c>
      <c r="D27" s="3">
        <f>IF(ISNUMBER(C27), C27, DATE(RIGHT(C27, 4), MATCH(LEFT(C27, 3), {"Jan","Feb","Mar","Apr","May","Jun","Jul","Aug","Sep","Oct","Nov","Dec"}, 0), MID(C27, 5, 2)))</f>
        <v>45803</v>
      </c>
      <c r="E27" s="3" t="str">
        <f t="shared" si="1"/>
        <v>May</v>
      </c>
      <c r="F27" s="3" t="str">
        <f t="shared" si="2"/>
        <v>2025</v>
      </c>
      <c r="G27" s="4">
        <f t="shared" si="3"/>
        <v>5</v>
      </c>
      <c r="H27" s="3" t="str">
        <f t="shared" si="4"/>
        <v>Q-2</v>
      </c>
      <c r="I27" t="s">
        <v>11</v>
      </c>
      <c r="J27" t="s">
        <v>39</v>
      </c>
      <c r="K27">
        <v>2500</v>
      </c>
      <c r="L27" s="5">
        <v>27614</v>
      </c>
      <c r="M27">
        <v>3</v>
      </c>
      <c r="N27" t="s">
        <v>560</v>
      </c>
      <c r="O27" t="s">
        <v>506</v>
      </c>
      <c r="P27" t="s">
        <v>42</v>
      </c>
      <c r="Q27" s="5">
        <f>Table1[[#This Row],[Quantity]]*Table1[[#This Row],[Unit_Price]]</f>
        <v>69035000</v>
      </c>
      <c r="R27" t="str">
        <f>IF(Table1[[#This Row],[Delivery_Days]]&lt;=3,"Fast",IF(Table1[[#This Row],[Delivery_Days]]&lt;=7,"Normal","Late"))</f>
        <v>Fast</v>
      </c>
    </row>
    <row r="28" spans="1:18" x14ac:dyDescent="0.35">
      <c r="A28" t="s">
        <v>80</v>
      </c>
      <c r="B28" t="str">
        <f t="shared" si="0"/>
        <v>APX1046</v>
      </c>
      <c r="C28" s="3">
        <v>45839</v>
      </c>
      <c r="D28" s="3">
        <f>IF(ISNUMBER(C28), C28, DATE(RIGHT(C28, 4), MATCH(LEFT(C28, 3), {"Jan","Feb","Mar","Apr","May","Jun","Jul","Aug","Sep","Oct","Nov","Dec"}, 0), MID(C28, 5, 2)))</f>
        <v>45839</v>
      </c>
      <c r="E28" s="3" t="str">
        <f t="shared" si="1"/>
        <v>Jul</v>
      </c>
      <c r="F28" s="3" t="str">
        <f t="shared" si="2"/>
        <v>2025</v>
      </c>
      <c r="G28" s="4">
        <f t="shared" si="3"/>
        <v>7</v>
      </c>
      <c r="H28" s="3" t="str">
        <f t="shared" si="4"/>
        <v>Q-3</v>
      </c>
      <c r="I28" t="s">
        <v>76</v>
      </c>
      <c r="J28" t="s">
        <v>32</v>
      </c>
      <c r="K28">
        <v>30</v>
      </c>
      <c r="L28" s="5">
        <v>800</v>
      </c>
      <c r="M28">
        <v>3</v>
      </c>
      <c r="N28" t="s">
        <v>504</v>
      </c>
      <c r="O28" t="s">
        <v>506</v>
      </c>
      <c r="P28" t="s">
        <v>25</v>
      </c>
      <c r="Q28" s="5">
        <f>Table1[[#This Row],[Quantity]]*Table1[[#This Row],[Unit_Price]]</f>
        <v>24000</v>
      </c>
      <c r="R28" t="str">
        <f>IF(Table1[[#This Row],[Delivery_Days]]&lt;=3,"Fast",IF(Table1[[#This Row],[Delivery_Days]]&lt;=7,"Normal","Late"))</f>
        <v>Fast</v>
      </c>
    </row>
    <row r="29" spans="1:18" x14ac:dyDescent="0.35">
      <c r="A29" t="s">
        <v>81</v>
      </c>
      <c r="B29" t="str">
        <f t="shared" si="0"/>
        <v>APX1235</v>
      </c>
      <c r="C29" s="3" t="s">
        <v>82</v>
      </c>
      <c r="D29" s="3">
        <f>IF(ISNUMBER(C29), C29, DATE(RIGHT(C29, 4), MATCH(LEFT(C29, 3), {"Jan","Feb","Mar","Apr","May","Jun","Jul","Aug","Sep","Oct","Nov","Dec"}, 0), MID(C29, 5, 2)))</f>
        <v>45823</v>
      </c>
      <c r="E29" s="3" t="str">
        <f t="shared" si="1"/>
        <v>Jun</v>
      </c>
      <c r="F29" s="3" t="str">
        <f t="shared" si="2"/>
        <v>2025</v>
      </c>
      <c r="G29" s="4">
        <f t="shared" si="3"/>
        <v>6</v>
      </c>
      <c r="H29" s="3" t="str">
        <f t="shared" si="4"/>
        <v>Q-2</v>
      </c>
      <c r="I29" t="s">
        <v>11</v>
      </c>
      <c r="J29" t="s">
        <v>32</v>
      </c>
      <c r="K29">
        <v>2500</v>
      </c>
      <c r="L29" s="5">
        <v>6500</v>
      </c>
      <c r="M29">
        <v>3</v>
      </c>
      <c r="N29" t="s">
        <v>40</v>
      </c>
      <c r="O29" t="s">
        <v>14</v>
      </c>
      <c r="P29" t="s">
        <v>15</v>
      </c>
      <c r="Q29" s="5">
        <f>Table1[[#This Row],[Quantity]]*Table1[[#This Row],[Unit_Price]]</f>
        <v>16250000</v>
      </c>
      <c r="R29" t="str">
        <f>IF(Table1[[#This Row],[Delivery_Days]]&lt;=3,"Fast",IF(Table1[[#This Row],[Delivery_Days]]&lt;=7,"Normal","Late"))</f>
        <v>Fast</v>
      </c>
    </row>
    <row r="30" spans="1:18" x14ac:dyDescent="0.35">
      <c r="A30" t="s">
        <v>83</v>
      </c>
      <c r="B30" t="str">
        <f t="shared" si="0"/>
        <v>APX1293</v>
      </c>
      <c r="C30" s="3" t="s">
        <v>84</v>
      </c>
      <c r="D30" s="3">
        <f>IF(ISNUMBER(C30), C30, DATE(RIGHT(C30, 4), MATCH(LEFT(C30, 3), {"Jan","Feb","Mar","Apr","May","Jun","Jul","Aug","Sep","Oct","Nov","Dec"}, 0), MID(C30, 5, 2)))</f>
        <v>45858</v>
      </c>
      <c r="E30" s="3" t="str">
        <f t="shared" si="1"/>
        <v>Jul</v>
      </c>
      <c r="F30" s="3" t="str">
        <f t="shared" si="2"/>
        <v>2025</v>
      </c>
      <c r="G30" s="4">
        <f t="shared" si="3"/>
        <v>7</v>
      </c>
      <c r="H30" s="3" t="str">
        <f t="shared" si="4"/>
        <v>Q-3</v>
      </c>
      <c r="I30" t="s">
        <v>76</v>
      </c>
      <c r="J30" t="s">
        <v>32</v>
      </c>
      <c r="K30">
        <v>2500</v>
      </c>
      <c r="L30" s="5">
        <v>44500</v>
      </c>
      <c r="M30">
        <v>3</v>
      </c>
      <c r="N30" t="s">
        <v>40</v>
      </c>
      <c r="O30" t="s">
        <v>506</v>
      </c>
      <c r="P30" t="s">
        <v>25</v>
      </c>
      <c r="Q30" s="5">
        <f>Table1[[#This Row],[Quantity]]*Table1[[#This Row],[Unit_Price]]</f>
        <v>111250000</v>
      </c>
      <c r="R30" t="str">
        <f>IF(Table1[[#This Row],[Delivery_Days]]&lt;=3,"Fast",IF(Table1[[#This Row],[Delivery_Days]]&lt;=7,"Normal","Late"))</f>
        <v>Fast</v>
      </c>
    </row>
    <row r="31" spans="1:18" x14ac:dyDescent="0.35">
      <c r="A31" t="s">
        <v>85</v>
      </c>
      <c r="B31" t="str">
        <f t="shared" si="0"/>
        <v>APX1287</v>
      </c>
      <c r="C31" s="3" t="s">
        <v>86</v>
      </c>
      <c r="D31" s="3">
        <f>IF(ISNUMBER(C31), C31, DATE(RIGHT(C31, 4), MATCH(LEFT(C31, 3), {"Jan","Feb","Mar","Apr","May","Jun","Jul","Aug","Sep","Oct","Nov","Dec"}, 0), MID(C31, 5, 2)))</f>
        <v>45974</v>
      </c>
      <c r="E31" s="3" t="str">
        <f t="shared" si="1"/>
        <v>Nov</v>
      </c>
      <c r="F31" s="3" t="str">
        <f t="shared" si="2"/>
        <v>2025</v>
      </c>
      <c r="G31" s="4">
        <f t="shared" si="3"/>
        <v>11</v>
      </c>
      <c r="H31" s="3" t="str">
        <f t="shared" si="4"/>
        <v>Q-4</v>
      </c>
      <c r="I31" t="s">
        <v>503</v>
      </c>
      <c r="J31" t="s">
        <v>28</v>
      </c>
      <c r="K31">
        <v>197</v>
      </c>
      <c r="L31" s="5">
        <v>4500</v>
      </c>
      <c r="M31">
        <v>7</v>
      </c>
      <c r="N31" t="s">
        <v>560</v>
      </c>
      <c r="O31" t="s">
        <v>46</v>
      </c>
      <c r="P31" t="s">
        <v>15</v>
      </c>
      <c r="Q31" s="5">
        <f>Table1[[#This Row],[Quantity]]*Table1[[#This Row],[Unit_Price]]</f>
        <v>886500</v>
      </c>
      <c r="R31" t="str">
        <f>IF(Table1[[#This Row],[Delivery_Days]]&lt;=3,"Fast",IF(Table1[[#This Row],[Delivery_Days]]&lt;=7,"Normal","Late"))</f>
        <v>Normal</v>
      </c>
    </row>
    <row r="32" spans="1:18" x14ac:dyDescent="0.35">
      <c r="A32" t="s">
        <v>55</v>
      </c>
      <c r="B32" t="str">
        <f t="shared" si="0"/>
        <v>APX1271</v>
      </c>
      <c r="C32" s="3">
        <v>46011</v>
      </c>
      <c r="D32" s="3">
        <f>IF(ISNUMBER(C32), C32, DATE(RIGHT(C32, 4), MATCH(LEFT(C32, 3), {"Jan","Feb","Mar","Apr","May","Jun","Jul","Aug","Sep","Oct","Nov","Dec"}, 0), MID(C32, 5, 2)))</f>
        <v>46011</v>
      </c>
      <c r="E32" s="3" t="str">
        <f t="shared" si="1"/>
        <v>Dec</v>
      </c>
      <c r="F32" s="3" t="str">
        <f t="shared" si="2"/>
        <v>2025</v>
      </c>
      <c r="G32" s="4">
        <f t="shared" si="3"/>
        <v>12</v>
      </c>
      <c r="H32" s="3" t="str">
        <f t="shared" si="4"/>
        <v>Q-4</v>
      </c>
      <c r="I32" t="s">
        <v>76</v>
      </c>
      <c r="J32" t="s">
        <v>28</v>
      </c>
      <c r="K32">
        <v>2500</v>
      </c>
      <c r="L32" s="5">
        <v>800</v>
      </c>
      <c r="M32">
        <v>95</v>
      </c>
      <c r="N32" t="s">
        <v>504</v>
      </c>
      <c r="O32" t="s">
        <v>46</v>
      </c>
      <c r="P32" t="s">
        <v>74</v>
      </c>
      <c r="Q32" s="5">
        <f>Table1[[#This Row],[Quantity]]*Table1[[#This Row],[Unit_Price]]</f>
        <v>2000000</v>
      </c>
      <c r="R32" t="str">
        <f>IF(Table1[[#This Row],[Delivery_Days]]&lt;=3,"Fast",IF(Table1[[#This Row],[Delivery_Days]]&lt;=7,"Normal","Late"))</f>
        <v>Late</v>
      </c>
    </row>
    <row r="33" spans="1:18" x14ac:dyDescent="0.35">
      <c r="A33" t="s">
        <v>87</v>
      </c>
      <c r="B33" t="str">
        <f t="shared" si="0"/>
        <v>APX1300</v>
      </c>
      <c r="C33" s="3">
        <v>45705</v>
      </c>
      <c r="D33" s="3">
        <f>IF(ISNUMBER(C33), C33, DATE(RIGHT(C33, 4), MATCH(LEFT(C33, 3), {"Jan","Feb","Mar","Apr","May","Jun","Jul","Aug","Sep","Oct","Nov","Dec"}, 0), MID(C33, 5, 2)))</f>
        <v>45705</v>
      </c>
      <c r="E33" s="3" t="str">
        <f t="shared" si="1"/>
        <v>Feb</v>
      </c>
      <c r="F33" s="3" t="str">
        <f t="shared" si="2"/>
        <v>2025</v>
      </c>
      <c r="G33" s="4">
        <f t="shared" si="3"/>
        <v>2</v>
      </c>
      <c r="H33" s="3" t="str">
        <f t="shared" si="4"/>
        <v>Q-1</v>
      </c>
      <c r="I33" t="s">
        <v>17</v>
      </c>
      <c r="J33" t="s">
        <v>28</v>
      </c>
      <c r="K33">
        <v>30</v>
      </c>
      <c r="L33" s="5">
        <v>4500</v>
      </c>
      <c r="M33">
        <v>5</v>
      </c>
      <c r="N33" t="s">
        <v>560</v>
      </c>
      <c r="O33" t="s">
        <v>506</v>
      </c>
      <c r="P33" t="s">
        <v>25</v>
      </c>
      <c r="Q33" s="5">
        <f>Table1[[#This Row],[Quantity]]*Table1[[#This Row],[Unit_Price]]</f>
        <v>135000</v>
      </c>
      <c r="R33" t="str">
        <f>IF(Table1[[#This Row],[Delivery_Days]]&lt;=3,"Fast",IF(Table1[[#This Row],[Delivery_Days]]&lt;=7,"Normal","Late"))</f>
        <v>Normal</v>
      </c>
    </row>
    <row r="34" spans="1:18" x14ac:dyDescent="0.35">
      <c r="A34" t="s">
        <v>88</v>
      </c>
      <c r="B34" t="str">
        <f t="shared" si="0"/>
        <v>APX1224</v>
      </c>
      <c r="C34" s="3">
        <v>45959</v>
      </c>
      <c r="D34" s="3">
        <f>IF(ISNUMBER(C34), C34, DATE(RIGHT(C34, 4), MATCH(LEFT(C34, 3), {"Jan","Feb","Mar","Apr","May","Jun","Jul","Aug","Sep","Oct","Nov","Dec"}, 0), MID(C34, 5, 2)))</f>
        <v>45959</v>
      </c>
      <c r="E34" s="3" t="str">
        <f t="shared" si="1"/>
        <v>Oct</v>
      </c>
      <c r="F34" s="3" t="str">
        <f t="shared" si="2"/>
        <v>2025</v>
      </c>
      <c r="G34" s="4">
        <f t="shared" si="3"/>
        <v>10</v>
      </c>
      <c r="H34" s="3" t="str">
        <f t="shared" si="4"/>
        <v>Q-4</v>
      </c>
      <c r="I34" t="s">
        <v>503</v>
      </c>
      <c r="J34" t="s">
        <v>89</v>
      </c>
      <c r="K34">
        <v>30</v>
      </c>
      <c r="L34" s="5">
        <v>6500</v>
      </c>
      <c r="M34">
        <v>95</v>
      </c>
      <c r="N34" t="s">
        <v>40</v>
      </c>
      <c r="O34" t="s">
        <v>506</v>
      </c>
      <c r="P34" t="s">
        <v>74</v>
      </c>
      <c r="Q34" s="5">
        <f>Table1[[#This Row],[Quantity]]*Table1[[#This Row],[Unit_Price]]</f>
        <v>195000</v>
      </c>
      <c r="R34" t="str">
        <f>IF(Table1[[#This Row],[Delivery_Days]]&lt;=3,"Fast",IF(Table1[[#This Row],[Delivery_Days]]&lt;=7,"Normal","Late"))</f>
        <v>Late</v>
      </c>
    </row>
    <row r="35" spans="1:18" x14ac:dyDescent="0.35">
      <c r="A35" t="s">
        <v>90</v>
      </c>
      <c r="B35" t="str">
        <f t="shared" si="0"/>
        <v>APX1340</v>
      </c>
      <c r="C35" s="3">
        <v>45978</v>
      </c>
      <c r="D35" s="3">
        <f>IF(ISNUMBER(C35), C35, DATE(RIGHT(C35, 4), MATCH(LEFT(C35, 3), {"Jan","Feb","Mar","Apr","May","Jun","Jul","Aug","Sep","Oct","Nov","Dec"}, 0), MID(C35, 5, 2)))</f>
        <v>45978</v>
      </c>
      <c r="E35" s="3" t="str">
        <f t="shared" si="1"/>
        <v>Nov</v>
      </c>
      <c r="F35" s="3" t="str">
        <f t="shared" si="2"/>
        <v>2025</v>
      </c>
      <c r="G35" s="4">
        <f t="shared" si="3"/>
        <v>11</v>
      </c>
      <c r="H35" s="3" t="str">
        <f t="shared" si="4"/>
        <v>Q-4</v>
      </c>
      <c r="I35" t="s">
        <v>503</v>
      </c>
      <c r="J35" t="s">
        <v>73</v>
      </c>
      <c r="K35">
        <v>68</v>
      </c>
      <c r="L35" s="5">
        <v>850000</v>
      </c>
      <c r="M35">
        <v>95</v>
      </c>
      <c r="N35" t="s">
        <v>560</v>
      </c>
      <c r="O35" t="s">
        <v>506</v>
      </c>
      <c r="P35" t="s">
        <v>42</v>
      </c>
      <c r="Q35" s="5">
        <f>Table1[[#This Row],[Quantity]]*Table1[[#This Row],[Unit_Price]]</f>
        <v>57800000</v>
      </c>
      <c r="R35" t="str">
        <f>IF(Table1[[#This Row],[Delivery_Days]]&lt;=3,"Fast",IF(Table1[[#This Row],[Delivery_Days]]&lt;=7,"Normal","Late"))</f>
        <v>Late</v>
      </c>
    </row>
    <row r="36" spans="1:18" x14ac:dyDescent="0.35">
      <c r="A36">
        <v>1379</v>
      </c>
      <c r="B36" t="str">
        <f t="shared" si="0"/>
        <v>APX1379</v>
      </c>
      <c r="C36" s="3" t="s">
        <v>91</v>
      </c>
      <c r="D36" s="3">
        <f>IF(ISNUMBER(C36), C36, DATE(RIGHT(C36, 4), MATCH(LEFT(C36, 3), {"Jan","Feb","Mar","Apr","May","Jun","Jul","Aug","Sep","Oct","Nov","Dec"}, 0), MID(C36, 5, 2)))</f>
        <v>46019</v>
      </c>
      <c r="E36" s="3" t="str">
        <f t="shared" si="1"/>
        <v>Dec</v>
      </c>
      <c r="F36" s="3" t="str">
        <f t="shared" si="2"/>
        <v>2025</v>
      </c>
      <c r="G36" s="4">
        <f t="shared" si="3"/>
        <v>12</v>
      </c>
      <c r="H36" s="3" t="str">
        <f t="shared" si="4"/>
        <v>Q-4</v>
      </c>
      <c r="I36" t="s">
        <v>502</v>
      </c>
      <c r="J36" t="s">
        <v>32</v>
      </c>
      <c r="K36">
        <v>2500</v>
      </c>
      <c r="L36" s="5">
        <v>6500</v>
      </c>
      <c r="M36">
        <v>2</v>
      </c>
      <c r="N36" t="s">
        <v>40</v>
      </c>
      <c r="O36" t="s">
        <v>46</v>
      </c>
      <c r="P36" t="s">
        <v>42</v>
      </c>
      <c r="Q36" s="5">
        <f>Table1[[#This Row],[Quantity]]*Table1[[#This Row],[Unit_Price]]</f>
        <v>16250000</v>
      </c>
      <c r="R36" t="str">
        <f>IF(Table1[[#This Row],[Delivery_Days]]&lt;=3,"Fast",IF(Table1[[#This Row],[Delivery_Days]]&lt;=7,"Normal","Late"))</f>
        <v>Fast</v>
      </c>
    </row>
    <row r="37" spans="1:18" x14ac:dyDescent="0.35">
      <c r="A37" t="s">
        <v>92</v>
      </c>
      <c r="B37" t="str">
        <f t="shared" si="0"/>
        <v>APX1232</v>
      </c>
      <c r="C37" s="3">
        <v>45755</v>
      </c>
      <c r="D37" s="3">
        <f>IF(ISNUMBER(C37), C37, DATE(RIGHT(C37, 4), MATCH(LEFT(C37, 3), {"Jan","Feb","Mar","Apr","May","Jun","Jul","Aug","Sep","Oct","Nov","Dec"}, 0), MID(C37, 5, 2)))</f>
        <v>45755</v>
      </c>
      <c r="E37" s="3" t="str">
        <f t="shared" si="1"/>
        <v>Apr</v>
      </c>
      <c r="F37" s="3" t="str">
        <f t="shared" si="2"/>
        <v>2025</v>
      </c>
      <c r="G37" s="4">
        <f t="shared" si="3"/>
        <v>4</v>
      </c>
      <c r="H37" s="3" t="str">
        <f t="shared" si="4"/>
        <v>Q-2</v>
      </c>
      <c r="I37" t="s">
        <v>503</v>
      </c>
      <c r="J37" t="s">
        <v>39</v>
      </c>
      <c r="K37">
        <v>2500</v>
      </c>
      <c r="L37" s="5">
        <v>800</v>
      </c>
      <c r="M37">
        <v>95</v>
      </c>
      <c r="N37" t="s">
        <v>70</v>
      </c>
      <c r="O37" t="s">
        <v>506</v>
      </c>
      <c r="P37" t="s">
        <v>25</v>
      </c>
      <c r="Q37" s="5">
        <f>Table1[[#This Row],[Quantity]]*Table1[[#This Row],[Unit_Price]]</f>
        <v>2000000</v>
      </c>
      <c r="R37" t="str">
        <f>IF(Table1[[#This Row],[Delivery_Days]]&lt;=3,"Fast",IF(Table1[[#This Row],[Delivery_Days]]&lt;=7,"Normal","Late"))</f>
        <v>Late</v>
      </c>
    </row>
    <row r="38" spans="1:18" x14ac:dyDescent="0.35">
      <c r="A38" t="s">
        <v>93</v>
      </c>
      <c r="B38" t="str">
        <f t="shared" si="0"/>
        <v>APX1297</v>
      </c>
      <c r="C38" s="3">
        <v>46020</v>
      </c>
      <c r="D38" s="3">
        <f>IF(ISNUMBER(C38), C38, DATE(RIGHT(C38, 4), MATCH(LEFT(C38, 3), {"Jan","Feb","Mar","Apr","May","Jun","Jul","Aug","Sep","Oct","Nov","Dec"}, 0), MID(C38, 5, 2)))</f>
        <v>46020</v>
      </c>
      <c r="E38" s="3" t="str">
        <f t="shared" si="1"/>
        <v>Dec</v>
      </c>
      <c r="F38" s="3" t="str">
        <f t="shared" si="2"/>
        <v>2025</v>
      </c>
      <c r="G38" s="4">
        <f t="shared" si="3"/>
        <v>12</v>
      </c>
      <c r="H38" s="3" t="str">
        <f t="shared" si="4"/>
        <v>Q-4</v>
      </c>
      <c r="I38" t="s">
        <v>503</v>
      </c>
      <c r="J38" t="s">
        <v>28</v>
      </c>
      <c r="K38">
        <v>12</v>
      </c>
      <c r="L38" s="5">
        <v>33492</v>
      </c>
      <c r="M38">
        <v>3</v>
      </c>
      <c r="N38" t="s">
        <v>70</v>
      </c>
      <c r="O38" t="s">
        <v>506</v>
      </c>
      <c r="P38" t="s">
        <v>25</v>
      </c>
      <c r="Q38" s="5">
        <f>Table1[[#This Row],[Quantity]]*Table1[[#This Row],[Unit_Price]]</f>
        <v>401904</v>
      </c>
      <c r="R38" t="str">
        <f>IF(Table1[[#This Row],[Delivery_Days]]&lt;=3,"Fast",IF(Table1[[#This Row],[Delivery_Days]]&lt;=7,"Normal","Late"))</f>
        <v>Fast</v>
      </c>
    </row>
    <row r="39" spans="1:18" x14ac:dyDescent="0.35">
      <c r="A39" t="s">
        <v>94</v>
      </c>
      <c r="B39" t="str">
        <f t="shared" si="0"/>
        <v>APX1366</v>
      </c>
      <c r="C39" s="3">
        <v>45857</v>
      </c>
      <c r="D39" s="3">
        <f>IF(ISNUMBER(C39), C39, DATE(RIGHT(C39, 4), MATCH(LEFT(C39, 3), {"Jan","Feb","Mar","Apr","May","Jun","Jul","Aug","Sep","Oct","Nov","Dec"}, 0), MID(C39, 5, 2)))</f>
        <v>45857</v>
      </c>
      <c r="E39" s="3" t="str">
        <f t="shared" si="1"/>
        <v>Jul</v>
      </c>
      <c r="F39" s="3" t="str">
        <f t="shared" si="2"/>
        <v>2025</v>
      </c>
      <c r="G39" s="4">
        <f t="shared" si="3"/>
        <v>7</v>
      </c>
      <c r="H39" s="3" t="str">
        <f t="shared" si="4"/>
        <v>Q-3</v>
      </c>
      <c r="I39" t="s">
        <v>11</v>
      </c>
      <c r="J39" t="s">
        <v>28</v>
      </c>
      <c r="K39">
        <v>2500</v>
      </c>
      <c r="L39" s="5">
        <v>9359</v>
      </c>
      <c r="M39">
        <v>95</v>
      </c>
      <c r="N39" t="s">
        <v>40</v>
      </c>
      <c r="O39" t="s">
        <v>506</v>
      </c>
      <c r="P39" t="s">
        <v>25</v>
      </c>
      <c r="Q39" s="5">
        <f>Table1[[#This Row],[Quantity]]*Table1[[#This Row],[Unit_Price]]</f>
        <v>23397500</v>
      </c>
      <c r="R39" t="str">
        <f>IF(Table1[[#This Row],[Delivery_Days]]&lt;=3,"Fast",IF(Table1[[#This Row],[Delivery_Days]]&lt;=7,"Normal","Late"))</f>
        <v>Late</v>
      </c>
    </row>
    <row r="40" spans="1:18" x14ac:dyDescent="0.35">
      <c r="A40" t="s">
        <v>95</v>
      </c>
      <c r="B40" t="str">
        <f t="shared" si="0"/>
        <v>APX1170</v>
      </c>
      <c r="C40" s="3">
        <v>45907</v>
      </c>
      <c r="D40" s="3">
        <f>IF(ISNUMBER(C40), C40, DATE(RIGHT(C40, 4), MATCH(LEFT(C40, 3), {"Jan","Feb","Mar","Apr","May","Jun","Jul","Aug","Sep","Oct","Nov","Dec"}, 0), MID(C40, 5, 2)))</f>
        <v>45907</v>
      </c>
      <c r="E40" s="3" t="str">
        <f t="shared" si="1"/>
        <v>Sep</v>
      </c>
      <c r="F40" s="3" t="str">
        <f t="shared" si="2"/>
        <v>2025</v>
      </c>
      <c r="G40" s="4">
        <f t="shared" si="3"/>
        <v>9</v>
      </c>
      <c r="H40" s="3" t="str">
        <f t="shared" si="4"/>
        <v>Q-4</v>
      </c>
      <c r="I40" t="s">
        <v>76</v>
      </c>
      <c r="J40" t="s">
        <v>32</v>
      </c>
      <c r="K40">
        <v>2500</v>
      </c>
      <c r="L40" s="5">
        <v>800</v>
      </c>
      <c r="M40">
        <v>95</v>
      </c>
      <c r="N40" t="s">
        <v>504</v>
      </c>
      <c r="O40" t="s">
        <v>14</v>
      </c>
      <c r="P40" t="s">
        <v>74</v>
      </c>
      <c r="Q40" s="5">
        <f>Table1[[#This Row],[Quantity]]*Table1[[#This Row],[Unit_Price]]</f>
        <v>2000000</v>
      </c>
      <c r="R40" t="str">
        <f>IF(Table1[[#This Row],[Delivery_Days]]&lt;=3,"Fast",IF(Table1[[#This Row],[Delivery_Days]]&lt;=7,"Normal","Late"))</f>
        <v>Late</v>
      </c>
    </row>
    <row r="41" spans="1:18" x14ac:dyDescent="0.35">
      <c r="A41" t="s">
        <v>79</v>
      </c>
      <c r="B41" t="str">
        <f t="shared" si="0"/>
        <v>APX1393</v>
      </c>
      <c r="C41" s="3">
        <v>45699</v>
      </c>
      <c r="D41" s="3">
        <f>IF(ISNUMBER(C41), C41, DATE(RIGHT(C41, 4), MATCH(LEFT(C41, 3), {"Jan","Feb","Mar","Apr","May","Jun","Jul","Aug","Sep","Oct","Nov","Dec"}, 0), MID(C41, 5, 2)))</f>
        <v>45699</v>
      </c>
      <c r="E41" s="3" t="str">
        <f t="shared" si="1"/>
        <v>Feb</v>
      </c>
      <c r="F41" s="3" t="str">
        <f t="shared" si="2"/>
        <v>2025</v>
      </c>
      <c r="G41" s="4">
        <f t="shared" si="3"/>
        <v>2</v>
      </c>
      <c r="H41" s="3" t="str">
        <f t="shared" si="4"/>
        <v>Q-1</v>
      </c>
      <c r="I41" t="s">
        <v>76</v>
      </c>
      <c r="J41" t="s">
        <v>28</v>
      </c>
      <c r="K41">
        <v>2500</v>
      </c>
      <c r="L41" s="5">
        <v>850000</v>
      </c>
      <c r="M41">
        <v>3</v>
      </c>
      <c r="N41" t="s">
        <v>70</v>
      </c>
      <c r="O41" t="s">
        <v>506</v>
      </c>
      <c r="P41" t="s">
        <v>74</v>
      </c>
      <c r="Q41" s="5">
        <f>Table1[[#This Row],[Quantity]]*Table1[[#This Row],[Unit_Price]]</f>
        <v>2125000000</v>
      </c>
      <c r="R41" t="str">
        <f>IF(Table1[[#This Row],[Delivery_Days]]&lt;=3,"Fast",IF(Table1[[#This Row],[Delivery_Days]]&lt;=7,"Normal","Late"))</f>
        <v>Fast</v>
      </c>
    </row>
    <row r="42" spans="1:18" x14ac:dyDescent="0.35">
      <c r="A42" t="s">
        <v>96</v>
      </c>
      <c r="B42" t="str">
        <f t="shared" si="0"/>
        <v>APX1024</v>
      </c>
      <c r="C42" s="3" t="s">
        <v>97</v>
      </c>
      <c r="D42" s="3">
        <f>IF(ISNUMBER(C42), C42, DATE(RIGHT(C42, 4), MATCH(LEFT(C42, 3), {"Jan","Feb","Mar","Apr","May","Jun","Jul","Aug","Sep","Oct","Nov","Dec"}, 0), MID(C42, 5, 2)))</f>
        <v>46008</v>
      </c>
      <c r="E42" s="3" t="str">
        <f t="shared" si="1"/>
        <v>Dec</v>
      </c>
      <c r="F42" s="3" t="str">
        <f t="shared" si="2"/>
        <v>2025</v>
      </c>
      <c r="G42" s="4">
        <f t="shared" si="3"/>
        <v>12</v>
      </c>
      <c r="H42" s="3" t="str">
        <f t="shared" si="4"/>
        <v>Q-4</v>
      </c>
      <c r="I42" t="s">
        <v>502</v>
      </c>
      <c r="J42" t="s">
        <v>32</v>
      </c>
      <c r="K42">
        <v>30</v>
      </c>
      <c r="L42" s="5">
        <v>6500</v>
      </c>
      <c r="M42">
        <v>95</v>
      </c>
      <c r="N42" t="s">
        <v>70</v>
      </c>
      <c r="O42" t="s">
        <v>506</v>
      </c>
      <c r="P42" t="s">
        <v>74</v>
      </c>
      <c r="Q42" s="5">
        <f>Table1[[#This Row],[Quantity]]*Table1[[#This Row],[Unit_Price]]</f>
        <v>195000</v>
      </c>
      <c r="R42" t="str">
        <f>IF(Table1[[#This Row],[Delivery_Days]]&lt;=3,"Fast",IF(Table1[[#This Row],[Delivery_Days]]&lt;=7,"Normal","Late"))</f>
        <v>Late</v>
      </c>
    </row>
    <row r="43" spans="1:18" x14ac:dyDescent="0.35">
      <c r="A43" t="s">
        <v>98</v>
      </c>
      <c r="B43" t="str">
        <f t="shared" si="0"/>
        <v>APX1392</v>
      </c>
      <c r="C43" s="3">
        <v>45777</v>
      </c>
      <c r="D43" s="3">
        <f>IF(ISNUMBER(C43), C43, DATE(RIGHT(C43, 4), MATCH(LEFT(C43, 3), {"Jan","Feb","Mar","Apr","May","Jun","Jul","Aug","Sep","Oct","Nov","Dec"}, 0), MID(C43, 5, 2)))</f>
        <v>45777</v>
      </c>
      <c r="E43" s="3" t="str">
        <f t="shared" si="1"/>
        <v>Apr</v>
      </c>
      <c r="F43" s="3" t="str">
        <f t="shared" si="2"/>
        <v>2025</v>
      </c>
      <c r="G43" s="4">
        <f t="shared" si="3"/>
        <v>4</v>
      </c>
      <c r="H43" s="3" t="str">
        <f t="shared" si="4"/>
        <v>Q-2</v>
      </c>
      <c r="I43" t="s">
        <v>17</v>
      </c>
      <c r="J43" t="s">
        <v>39</v>
      </c>
      <c r="K43">
        <v>12</v>
      </c>
      <c r="L43" s="5">
        <v>850000</v>
      </c>
      <c r="M43">
        <v>9</v>
      </c>
      <c r="N43" t="s">
        <v>504</v>
      </c>
      <c r="O43" t="s">
        <v>506</v>
      </c>
      <c r="P43" t="s">
        <v>42</v>
      </c>
      <c r="Q43" s="5">
        <f>Table1[[#This Row],[Quantity]]*Table1[[#This Row],[Unit_Price]]</f>
        <v>10200000</v>
      </c>
      <c r="R43" t="str">
        <f>IF(Table1[[#This Row],[Delivery_Days]]&lt;=3,"Fast",IF(Table1[[#This Row],[Delivery_Days]]&lt;=7,"Normal","Late"))</f>
        <v>Late</v>
      </c>
    </row>
    <row r="44" spans="1:18" x14ac:dyDescent="0.35">
      <c r="A44" t="s">
        <v>100</v>
      </c>
      <c r="B44" t="str">
        <f t="shared" si="0"/>
        <v>APX1023</v>
      </c>
      <c r="C44" s="3">
        <v>45932</v>
      </c>
      <c r="D44" s="3">
        <f>IF(ISNUMBER(C44), C44, DATE(RIGHT(C44, 4), MATCH(LEFT(C44, 3), {"Jan","Feb","Mar","Apr","May","Jun","Jul","Aug","Sep","Oct","Nov","Dec"}, 0), MID(C44, 5, 2)))</f>
        <v>45932</v>
      </c>
      <c r="E44" s="3" t="str">
        <f t="shared" si="1"/>
        <v>Oct</v>
      </c>
      <c r="F44" s="3" t="str">
        <f t="shared" si="2"/>
        <v>2025</v>
      </c>
      <c r="G44" s="4">
        <f t="shared" si="3"/>
        <v>10</v>
      </c>
      <c r="H44" s="3" t="str">
        <f t="shared" si="4"/>
        <v>Q-4</v>
      </c>
      <c r="I44" t="s">
        <v>76</v>
      </c>
      <c r="J44" t="s">
        <v>39</v>
      </c>
      <c r="K44">
        <v>12</v>
      </c>
      <c r="L44" s="5">
        <v>4500</v>
      </c>
      <c r="M44">
        <v>95</v>
      </c>
      <c r="N44" t="s">
        <v>70</v>
      </c>
      <c r="O44" t="s">
        <v>506</v>
      </c>
      <c r="P44" t="s">
        <v>74</v>
      </c>
      <c r="Q44" s="5">
        <f>Table1[[#This Row],[Quantity]]*Table1[[#This Row],[Unit_Price]]</f>
        <v>54000</v>
      </c>
      <c r="R44" t="str">
        <f>IF(Table1[[#This Row],[Delivery_Days]]&lt;=3,"Fast",IF(Table1[[#This Row],[Delivery_Days]]&lt;=7,"Normal","Late"))</f>
        <v>Late</v>
      </c>
    </row>
    <row r="45" spans="1:18" x14ac:dyDescent="0.35">
      <c r="A45" t="s">
        <v>101</v>
      </c>
      <c r="B45" t="str">
        <f t="shared" si="0"/>
        <v>APX1003</v>
      </c>
      <c r="C45" s="3">
        <v>45990</v>
      </c>
      <c r="D45" s="3">
        <f>IF(ISNUMBER(C45), C45, DATE(RIGHT(C45, 4), MATCH(LEFT(C45, 3), {"Jan","Feb","Mar","Apr","May","Jun","Jul","Aug","Sep","Oct","Nov","Dec"}, 0), MID(C45, 5, 2)))</f>
        <v>45990</v>
      </c>
      <c r="E45" s="3" t="str">
        <f t="shared" si="1"/>
        <v>Nov</v>
      </c>
      <c r="F45" s="3" t="str">
        <f t="shared" si="2"/>
        <v>2025</v>
      </c>
      <c r="G45" s="4">
        <f t="shared" si="3"/>
        <v>11</v>
      </c>
      <c r="H45" s="3" t="str">
        <f t="shared" si="4"/>
        <v>Q-4</v>
      </c>
      <c r="I45" t="s">
        <v>11</v>
      </c>
      <c r="J45" t="s">
        <v>73</v>
      </c>
      <c r="K45">
        <v>12</v>
      </c>
      <c r="L45" s="5">
        <v>6500</v>
      </c>
      <c r="M45">
        <v>3</v>
      </c>
      <c r="N45" t="s">
        <v>504</v>
      </c>
      <c r="O45" t="s">
        <v>506</v>
      </c>
      <c r="P45" t="s">
        <v>74</v>
      </c>
      <c r="Q45" s="5">
        <f>Table1[[#This Row],[Quantity]]*Table1[[#This Row],[Unit_Price]]</f>
        <v>78000</v>
      </c>
      <c r="R45" t="str">
        <f>IF(Table1[[#This Row],[Delivery_Days]]&lt;=3,"Fast",IF(Table1[[#This Row],[Delivery_Days]]&lt;=7,"Normal","Late"))</f>
        <v>Fast</v>
      </c>
    </row>
    <row r="46" spans="1:18" x14ac:dyDescent="0.35">
      <c r="A46" t="s">
        <v>102</v>
      </c>
      <c r="B46" t="str">
        <f t="shared" si="0"/>
        <v>APX1358</v>
      </c>
      <c r="C46" s="3">
        <v>45849</v>
      </c>
      <c r="D46" s="3">
        <f>IF(ISNUMBER(C46), C46, DATE(RIGHT(C46, 4), MATCH(LEFT(C46, 3), {"Jan","Feb","Mar","Apr","May","Jun","Jul","Aug","Sep","Oct","Nov","Dec"}, 0), MID(C46, 5, 2)))</f>
        <v>45849</v>
      </c>
      <c r="E46" s="3" t="str">
        <f t="shared" si="1"/>
        <v>Jul</v>
      </c>
      <c r="F46" s="3" t="str">
        <f t="shared" si="2"/>
        <v>2025</v>
      </c>
      <c r="G46" s="4">
        <f t="shared" si="3"/>
        <v>7</v>
      </c>
      <c r="H46" s="3" t="str">
        <f t="shared" si="4"/>
        <v>Q-3</v>
      </c>
      <c r="I46" t="s">
        <v>503</v>
      </c>
      <c r="J46" t="s">
        <v>39</v>
      </c>
      <c r="K46">
        <v>2500</v>
      </c>
      <c r="L46" s="5">
        <v>30278</v>
      </c>
      <c r="M46">
        <v>95</v>
      </c>
      <c r="N46" t="s">
        <v>40</v>
      </c>
      <c r="O46" t="s">
        <v>506</v>
      </c>
      <c r="P46" t="s">
        <v>25</v>
      </c>
      <c r="Q46" s="5">
        <f>Table1[[#This Row],[Quantity]]*Table1[[#This Row],[Unit_Price]]</f>
        <v>75695000</v>
      </c>
      <c r="R46" t="str">
        <f>IF(Table1[[#This Row],[Delivery_Days]]&lt;=3,"Fast",IF(Table1[[#This Row],[Delivery_Days]]&lt;=7,"Normal","Late"))</f>
        <v>Late</v>
      </c>
    </row>
    <row r="47" spans="1:18" x14ac:dyDescent="0.35">
      <c r="A47" t="s">
        <v>103</v>
      </c>
      <c r="B47" t="str">
        <f t="shared" si="0"/>
        <v>APX1169</v>
      </c>
      <c r="C47" s="3">
        <v>45858</v>
      </c>
      <c r="D47" s="3">
        <f>IF(ISNUMBER(C47), C47, DATE(RIGHT(C47, 4), MATCH(LEFT(C47, 3), {"Jan","Feb","Mar","Apr","May","Jun","Jul","Aug","Sep","Oct","Nov","Dec"}, 0), MID(C47, 5, 2)))</f>
        <v>45858</v>
      </c>
      <c r="E47" s="3" t="str">
        <f t="shared" si="1"/>
        <v>Jul</v>
      </c>
      <c r="F47" s="3" t="str">
        <f t="shared" si="2"/>
        <v>2025</v>
      </c>
      <c r="G47" s="4">
        <f t="shared" si="3"/>
        <v>7</v>
      </c>
      <c r="H47" s="3" t="str">
        <f t="shared" si="4"/>
        <v>Q-3</v>
      </c>
      <c r="I47" t="s">
        <v>503</v>
      </c>
      <c r="J47" t="s">
        <v>32</v>
      </c>
      <c r="K47">
        <v>30</v>
      </c>
      <c r="L47" s="5">
        <v>800</v>
      </c>
      <c r="M47">
        <v>6</v>
      </c>
      <c r="N47" t="s">
        <v>70</v>
      </c>
      <c r="O47" t="s">
        <v>506</v>
      </c>
      <c r="P47" t="s">
        <v>25</v>
      </c>
      <c r="Q47" s="5">
        <f>Table1[[#This Row],[Quantity]]*Table1[[#This Row],[Unit_Price]]</f>
        <v>24000</v>
      </c>
      <c r="R47" t="str">
        <f>IF(Table1[[#This Row],[Delivery_Days]]&lt;=3,"Fast",IF(Table1[[#This Row],[Delivery_Days]]&lt;=7,"Normal","Late"))</f>
        <v>Normal</v>
      </c>
    </row>
    <row r="48" spans="1:18" x14ac:dyDescent="0.35">
      <c r="A48" t="s">
        <v>43</v>
      </c>
      <c r="B48" t="str">
        <f t="shared" si="0"/>
        <v>APX1050</v>
      </c>
      <c r="C48" s="3">
        <v>45979</v>
      </c>
      <c r="D48" s="3">
        <f>IF(ISNUMBER(C48), C48, DATE(RIGHT(C48, 4), MATCH(LEFT(C48, 3), {"Jan","Feb","Mar","Apr","May","Jun","Jul","Aug","Sep","Oct","Nov","Dec"}, 0), MID(C48, 5, 2)))</f>
        <v>45979</v>
      </c>
      <c r="E48" s="3" t="str">
        <f t="shared" si="1"/>
        <v>Nov</v>
      </c>
      <c r="F48" s="3" t="str">
        <f t="shared" si="2"/>
        <v>2025</v>
      </c>
      <c r="G48" s="4">
        <f t="shared" si="3"/>
        <v>11</v>
      </c>
      <c r="H48" s="3" t="str">
        <f t="shared" si="4"/>
        <v>Q-4</v>
      </c>
      <c r="I48" t="s">
        <v>17</v>
      </c>
      <c r="J48" t="s">
        <v>32</v>
      </c>
      <c r="K48">
        <v>12</v>
      </c>
      <c r="L48" s="5">
        <v>4942</v>
      </c>
      <c r="M48">
        <v>3</v>
      </c>
      <c r="N48" t="s">
        <v>40</v>
      </c>
      <c r="O48" t="s">
        <v>506</v>
      </c>
      <c r="P48" t="s">
        <v>25</v>
      </c>
      <c r="Q48" s="5">
        <f>Table1[[#This Row],[Quantity]]*Table1[[#This Row],[Unit_Price]]</f>
        <v>59304</v>
      </c>
      <c r="R48" t="str">
        <f>IF(Table1[[#This Row],[Delivery_Days]]&lt;=3,"Fast",IF(Table1[[#This Row],[Delivery_Days]]&lt;=7,"Normal","Late"))</f>
        <v>Fast</v>
      </c>
    </row>
    <row r="49" spans="1:18" x14ac:dyDescent="0.35">
      <c r="A49" t="s">
        <v>105</v>
      </c>
      <c r="B49" t="str">
        <f t="shared" si="0"/>
        <v>APX1417</v>
      </c>
      <c r="C49" s="3">
        <v>45701</v>
      </c>
      <c r="D49" s="3">
        <f>IF(ISNUMBER(C49), C49, DATE(RIGHT(C49, 4), MATCH(LEFT(C49, 3), {"Jan","Feb","Mar","Apr","May","Jun","Jul","Aug","Sep","Oct","Nov","Dec"}, 0), MID(C49, 5, 2)))</f>
        <v>45701</v>
      </c>
      <c r="E49" s="3" t="str">
        <f t="shared" si="1"/>
        <v>Feb</v>
      </c>
      <c r="F49" s="3" t="str">
        <f t="shared" si="2"/>
        <v>2025</v>
      </c>
      <c r="G49" s="4">
        <f t="shared" si="3"/>
        <v>2</v>
      </c>
      <c r="H49" s="3" t="str">
        <f t="shared" si="4"/>
        <v>Q-1</v>
      </c>
      <c r="I49" t="s">
        <v>17</v>
      </c>
      <c r="J49" t="s">
        <v>28</v>
      </c>
      <c r="K49">
        <v>30</v>
      </c>
      <c r="L49" s="5">
        <v>4500</v>
      </c>
      <c r="M49">
        <v>14</v>
      </c>
      <c r="N49" t="s">
        <v>40</v>
      </c>
      <c r="O49" t="s">
        <v>46</v>
      </c>
      <c r="P49" t="s">
        <v>25</v>
      </c>
      <c r="Q49" s="5">
        <f>Table1[[#This Row],[Quantity]]*Table1[[#This Row],[Unit_Price]]</f>
        <v>135000</v>
      </c>
      <c r="R49" t="str">
        <f>IF(Table1[[#This Row],[Delivery_Days]]&lt;=3,"Fast",IF(Table1[[#This Row],[Delivery_Days]]&lt;=7,"Normal","Late"))</f>
        <v>Late</v>
      </c>
    </row>
    <row r="50" spans="1:18" x14ac:dyDescent="0.35">
      <c r="A50" t="s">
        <v>106</v>
      </c>
      <c r="B50" t="str">
        <f t="shared" si="0"/>
        <v>APX1352</v>
      </c>
      <c r="C50" s="3">
        <v>45818</v>
      </c>
      <c r="D50" s="3">
        <f>IF(ISNUMBER(C50), C50, DATE(RIGHT(C50, 4), MATCH(LEFT(C50, 3), {"Jan","Feb","Mar","Apr","May","Jun","Jul","Aug","Sep","Oct","Nov","Dec"}, 0), MID(C50, 5, 2)))</f>
        <v>45818</v>
      </c>
      <c r="E50" s="3" t="str">
        <f t="shared" si="1"/>
        <v>Jun</v>
      </c>
      <c r="F50" s="3" t="str">
        <f t="shared" si="2"/>
        <v>2025</v>
      </c>
      <c r="G50" s="4">
        <f t="shared" si="3"/>
        <v>6</v>
      </c>
      <c r="H50" s="3" t="str">
        <f t="shared" si="4"/>
        <v>Q-2</v>
      </c>
      <c r="I50" t="s">
        <v>503</v>
      </c>
      <c r="J50" t="s">
        <v>32</v>
      </c>
      <c r="K50">
        <v>2500</v>
      </c>
      <c r="L50" s="5">
        <v>850000</v>
      </c>
      <c r="M50">
        <v>95</v>
      </c>
      <c r="N50" t="s">
        <v>40</v>
      </c>
      <c r="O50" t="s">
        <v>506</v>
      </c>
      <c r="P50" t="s">
        <v>15</v>
      </c>
      <c r="Q50" s="5">
        <f>Table1[[#This Row],[Quantity]]*Table1[[#This Row],[Unit_Price]]</f>
        <v>2125000000</v>
      </c>
      <c r="R50" t="str">
        <f>IF(Table1[[#This Row],[Delivery_Days]]&lt;=3,"Fast",IF(Table1[[#This Row],[Delivery_Days]]&lt;=7,"Normal","Late"))</f>
        <v>Late</v>
      </c>
    </row>
    <row r="51" spans="1:18" x14ac:dyDescent="0.35">
      <c r="A51" t="s">
        <v>107</v>
      </c>
      <c r="B51" t="str">
        <f t="shared" si="0"/>
        <v>APX1223</v>
      </c>
      <c r="C51" s="3">
        <v>45784</v>
      </c>
      <c r="D51" s="3">
        <f>IF(ISNUMBER(C51), C51, DATE(RIGHT(C51, 4), MATCH(LEFT(C51, 3), {"Jan","Feb","Mar","Apr","May","Jun","Jul","Aug","Sep","Oct","Nov","Dec"}, 0), MID(C51, 5, 2)))</f>
        <v>45784</v>
      </c>
      <c r="E51" s="3" t="str">
        <f t="shared" si="1"/>
        <v>May</v>
      </c>
      <c r="F51" s="3" t="str">
        <f t="shared" si="2"/>
        <v>2025</v>
      </c>
      <c r="G51" s="4">
        <f t="shared" si="3"/>
        <v>5</v>
      </c>
      <c r="H51" s="3" t="str">
        <f t="shared" si="4"/>
        <v>Q-2</v>
      </c>
      <c r="I51" t="s">
        <v>17</v>
      </c>
      <c r="J51" t="s">
        <v>28</v>
      </c>
      <c r="K51">
        <v>2500</v>
      </c>
      <c r="L51" s="5">
        <v>850000</v>
      </c>
      <c r="M51">
        <v>13</v>
      </c>
      <c r="N51" t="s">
        <v>40</v>
      </c>
      <c r="O51" t="s">
        <v>506</v>
      </c>
      <c r="P51" t="s">
        <v>25</v>
      </c>
      <c r="Q51" s="5">
        <f>Table1[[#This Row],[Quantity]]*Table1[[#This Row],[Unit_Price]]</f>
        <v>2125000000</v>
      </c>
      <c r="R51" t="str">
        <f>IF(Table1[[#This Row],[Delivery_Days]]&lt;=3,"Fast",IF(Table1[[#This Row],[Delivery_Days]]&lt;=7,"Normal","Late"))</f>
        <v>Late</v>
      </c>
    </row>
    <row r="52" spans="1:18" x14ac:dyDescent="0.35">
      <c r="A52" t="s">
        <v>65</v>
      </c>
      <c r="B52" t="str">
        <f t="shared" si="0"/>
        <v>APX1294</v>
      </c>
      <c r="C52" s="3" t="s">
        <v>108</v>
      </c>
      <c r="D52" s="3">
        <f>IF(ISNUMBER(C52), C52, DATE(RIGHT(C52, 4), MATCH(LEFT(C52, 3), {"Jan","Feb","Mar","Apr","May","Jun","Jul","Aug","Sep","Oct","Nov","Dec"}, 0), MID(C52, 5, 2)))</f>
        <v>45672</v>
      </c>
      <c r="E52" s="3" t="str">
        <f t="shared" si="1"/>
        <v>Jan</v>
      </c>
      <c r="F52" s="3" t="str">
        <f t="shared" si="2"/>
        <v>2025</v>
      </c>
      <c r="G52" s="4">
        <f t="shared" si="3"/>
        <v>1</v>
      </c>
      <c r="H52" s="3" t="str">
        <f t="shared" si="4"/>
        <v>Q-1</v>
      </c>
      <c r="I52" t="s">
        <v>510</v>
      </c>
      <c r="J52" t="s">
        <v>73</v>
      </c>
      <c r="K52">
        <v>32</v>
      </c>
      <c r="L52" s="5">
        <v>800</v>
      </c>
      <c r="M52">
        <v>3</v>
      </c>
      <c r="N52" t="s">
        <v>504</v>
      </c>
      <c r="O52" t="s">
        <v>506</v>
      </c>
      <c r="P52" t="s">
        <v>15</v>
      </c>
      <c r="Q52" s="5">
        <f>Table1[[#This Row],[Quantity]]*Table1[[#This Row],[Unit_Price]]</f>
        <v>25600</v>
      </c>
      <c r="R52" t="str">
        <f>IF(Table1[[#This Row],[Delivery_Days]]&lt;=3,"Fast",IF(Table1[[#This Row],[Delivery_Days]]&lt;=7,"Normal","Late"))</f>
        <v>Fast</v>
      </c>
    </row>
    <row r="53" spans="1:18" x14ac:dyDescent="0.35">
      <c r="A53" t="s">
        <v>109</v>
      </c>
      <c r="B53" t="str">
        <f t="shared" si="0"/>
        <v>APX1082</v>
      </c>
      <c r="C53" s="3">
        <v>45821</v>
      </c>
      <c r="D53" s="3">
        <f>IF(ISNUMBER(C53), C53, DATE(RIGHT(C53, 4), MATCH(LEFT(C53, 3), {"Jan","Feb","Mar","Apr","May","Jun","Jul","Aug","Sep","Oct","Nov","Dec"}, 0), MID(C53, 5, 2)))</f>
        <v>45821</v>
      </c>
      <c r="E53" s="3" t="str">
        <f t="shared" si="1"/>
        <v>Jun</v>
      </c>
      <c r="F53" s="3" t="str">
        <f t="shared" si="2"/>
        <v>2025</v>
      </c>
      <c r="G53" s="4">
        <f t="shared" si="3"/>
        <v>6</v>
      </c>
      <c r="H53" s="3" t="str">
        <f t="shared" si="4"/>
        <v>Q-2</v>
      </c>
      <c r="I53" t="s">
        <v>76</v>
      </c>
      <c r="J53" t="s">
        <v>73</v>
      </c>
      <c r="K53">
        <v>2500</v>
      </c>
      <c r="L53" s="5">
        <v>850000</v>
      </c>
      <c r="M53">
        <v>4</v>
      </c>
      <c r="N53" t="s">
        <v>40</v>
      </c>
      <c r="O53" t="s">
        <v>506</v>
      </c>
      <c r="P53" t="s">
        <v>15</v>
      </c>
      <c r="Q53" s="5">
        <f>Table1[[#This Row],[Quantity]]*Table1[[#This Row],[Unit_Price]]</f>
        <v>2125000000</v>
      </c>
      <c r="R53" t="str">
        <f>IF(Table1[[#This Row],[Delivery_Days]]&lt;=3,"Fast",IF(Table1[[#This Row],[Delivery_Days]]&lt;=7,"Normal","Late"))</f>
        <v>Normal</v>
      </c>
    </row>
    <row r="54" spans="1:18" x14ac:dyDescent="0.35">
      <c r="A54" t="s">
        <v>111</v>
      </c>
      <c r="B54" t="str">
        <f t="shared" si="0"/>
        <v>APX1141</v>
      </c>
      <c r="C54" s="3" t="s">
        <v>112</v>
      </c>
      <c r="D54" s="3">
        <f>IF(ISNUMBER(C54), C54, DATE(RIGHT(C54, 4), MATCH(LEFT(C54, 3), {"Jan","Feb","Mar","Apr","May","Jun","Jul","Aug","Sep","Oct","Nov","Dec"}, 0), MID(C54, 5, 2)))</f>
        <v>46002</v>
      </c>
      <c r="E54" s="3" t="str">
        <f t="shared" si="1"/>
        <v>Dec</v>
      </c>
      <c r="F54" s="3" t="str">
        <f t="shared" si="2"/>
        <v>2025</v>
      </c>
      <c r="G54" s="4">
        <f t="shared" si="3"/>
        <v>12</v>
      </c>
      <c r="H54" s="3" t="str">
        <f t="shared" si="4"/>
        <v>Q-4</v>
      </c>
      <c r="I54" t="s">
        <v>76</v>
      </c>
      <c r="J54" t="s">
        <v>64</v>
      </c>
      <c r="K54">
        <v>30</v>
      </c>
      <c r="L54" s="5">
        <v>27093</v>
      </c>
      <c r="M54">
        <v>3</v>
      </c>
      <c r="N54" t="s">
        <v>70</v>
      </c>
      <c r="O54" t="s">
        <v>506</v>
      </c>
      <c r="P54" t="s">
        <v>25</v>
      </c>
      <c r="Q54" s="5">
        <f>Table1[[#This Row],[Quantity]]*Table1[[#This Row],[Unit_Price]]</f>
        <v>812790</v>
      </c>
      <c r="R54" t="str">
        <f>IF(Table1[[#This Row],[Delivery_Days]]&lt;=3,"Fast",IF(Table1[[#This Row],[Delivery_Days]]&lt;=7,"Normal","Late"))</f>
        <v>Fast</v>
      </c>
    </row>
    <row r="55" spans="1:18" x14ac:dyDescent="0.35">
      <c r="A55">
        <v>1028</v>
      </c>
      <c r="B55" t="str">
        <f t="shared" si="0"/>
        <v>APX1028</v>
      </c>
      <c r="C55" s="3">
        <v>45914</v>
      </c>
      <c r="D55" s="3">
        <f>IF(ISNUMBER(C55), C55, DATE(RIGHT(C55, 4), MATCH(LEFT(C55, 3), {"Jan","Feb","Mar","Apr","May","Jun","Jul","Aug","Sep","Oct","Nov","Dec"}, 0), MID(C55, 5, 2)))</f>
        <v>45914</v>
      </c>
      <c r="E55" s="3" t="str">
        <f t="shared" si="1"/>
        <v>Sep</v>
      </c>
      <c r="F55" s="3" t="str">
        <f t="shared" si="2"/>
        <v>2025</v>
      </c>
      <c r="G55" s="4">
        <f t="shared" si="3"/>
        <v>9</v>
      </c>
      <c r="H55" s="3" t="str">
        <f t="shared" si="4"/>
        <v>Q-4</v>
      </c>
      <c r="I55" t="s">
        <v>11</v>
      </c>
      <c r="J55" t="s">
        <v>89</v>
      </c>
      <c r="K55">
        <v>2500</v>
      </c>
      <c r="L55" s="5">
        <v>800</v>
      </c>
      <c r="M55">
        <v>3</v>
      </c>
      <c r="N55" t="s">
        <v>40</v>
      </c>
      <c r="O55" t="s">
        <v>14</v>
      </c>
      <c r="P55" t="s">
        <v>25</v>
      </c>
      <c r="Q55" s="5">
        <f>Table1[[#This Row],[Quantity]]*Table1[[#This Row],[Unit_Price]]</f>
        <v>2000000</v>
      </c>
      <c r="R55" t="str">
        <f>IF(Table1[[#This Row],[Delivery_Days]]&lt;=3,"Fast",IF(Table1[[#This Row],[Delivery_Days]]&lt;=7,"Normal","Late"))</f>
        <v>Fast</v>
      </c>
    </row>
    <row r="56" spans="1:18" x14ac:dyDescent="0.35">
      <c r="A56" t="s">
        <v>113</v>
      </c>
      <c r="B56" t="str">
        <f t="shared" si="0"/>
        <v>APX1190</v>
      </c>
      <c r="C56" s="3">
        <v>45957</v>
      </c>
      <c r="D56" s="3">
        <f>IF(ISNUMBER(C56), C56, DATE(RIGHT(C56, 4), MATCH(LEFT(C56, 3), {"Jan","Feb","Mar","Apr","May","Jun","Jul","Aug","Sep","Oct","Nov","Dec"}, 0), MID(C56, 5, 2)))</f>
        <v>45957</v>
      </c>
      <c r="E56" s="3" t="str">
        <f t="shared" si="1"/>
        <v>Oct</v>
      </c>
      <c r="F56" s="3" t="str">
        <f t="shared" si="2"/>
        <v>2025</v>
      </c>
      <c r="G56" s="4">
        <f t="shared" si="3"/>
        <v>10</v>
      </c>
      <c r="H56" s="3" t="str">
        <f t="shared" si="4"/>
        <v>Q-4</v>
      </c>
      <c r="I56" t="s">
        <v>502</v>
      </c>
      <c r="J56" t="s">
        <v>32</v>
      </c>
      <c r="K56">
        <v>2500</v>
      </c>
      <c r="L56" s="5">
        <v>6500</v>
      </c>
      <c r="M56">
        <v>3</v>
      </c>
      <c r="N56" t="s">
        <v>560</v>
      </c>
      <c r="O56" t="s">
        <v>46</v>
      </c>
      <c r="P56" t="s">
        <v>15</v>
      </c>
      <c r="Q56" s="5">
        <f>Table1[[#This Row],[Quantity]]*Table1[[#This Row],[Unit_Price]]</f>
        <v>16250000</v>
      </c>
      <c r="R56" t="str">
        <f>IF(Table1[[#This Row],[Delivery_Days]]&lt;=3,"Fast",IF(Table1[[#This Row],[Delivery_Days]]&lt;=7,"Normal","Late"))</f>
        <v>Fast</v>
      </c>
    </row>
    <row r="57" spans="1:18" x14ac:dyDescent="0.35">
      <c r="A57" t="s">
        <v>114</v>
      </c>
      <c r="B57" t="str">
        <f t="shared" si="0"/>
        <v>APX1261</v>
      </c>
      <c r="C57" s="3">
        <v>46018</v>
      </c>
      <c r="D57" s="3">
        <f>IF(ISNUMBER(C57), C57, DATE(RIGHT(C57, 4), MATCH(LEFT(C57, 3), {"Jan","Feb","Mar","Apr","May","Jun","Jul","Aug","Sep","Oct","Nov","Dec"}, 0), MID(C57, 5, 2)))</f>
        <v>46018</v>
      </c>
      <c r="E57" s="3" t="str">
        <f t="shared" si="1"/>
        <v>Dec</v>
      </c>
      <c r="F57" s="3" t="str">
        <f t="shared" si="2"/>
        <v>2025</v>
      </c>
      <c r="G57" s="4">
        <f t="shared" si="3"/>
        <v>12</v>
      </c>
      <c r="H57" s="3" t="str">
        <f t="shared" si="4"/>
        <v>Q-4</v>
      </c>
      <c r="I57" t="s">
        <v>502</v>
      </c>
      <c r="J57" t="s">
        <v>28</v>
      </c>
      <c r="K57">
        <v>12</v>
      </c>
      <c r="L57" s="5">
        <v>850000</v>
      </c>
      <c r="M57">
        <v>95</v>
      </c>
      <c r="N57" t="s">
        <v>40</v>
      </c>
      <c r="O57" t="s">
        <v>506</v>
      </c>
      <c r="P57" t="s">
        <v>25</v>
      </c>
      <c r="Q57" s="5">
        <f>Table1[[#This Row],[Quantity]]*Table1[[#This Row],[Unit_Price]]</f>
        <v>10200000</v>
      </c>
      <c r="R57" t="str">
        <f>IF(Table1[[#This Row],[Delivery_Days]]&lt;=3,"Fast",IF(Table1[[#This Row],[Delivery_Days]]&lt;=7,"Normal","Late"))</f>
        <v>Late</v>
      </c>
    </row>
    <row r="58" spans="1:18" x14ac:dyDescent="0.35">
      <c r="A58" t="s">
        <v>65</v>
      </c>
      <c r="B58" t="str">
        <f t="shared" si="0"/>
        <v>APX1294</v>
      </c>
      <c r="C58" s="3">
        <v>45872</v>
      </c>
      <c r="D58" s="3">
        <f>IF(ISNUMBER(C58), C58, DATE(RIGHT(C58, 4), MATCH(LEFT(C58, 3), {"Jan","Feb","Mar","Apr","May","Jun","Jul","Aug","Sep","Oct","Nov","Dec"}, 0), MID(C58, 5, 2)))</f>
        <v>45872</v>
      </c>
      <c r="E58" s="3" t="str">
        <f t="shared" si="1"/>
        <v>Aug</v>
      </c>
      <c r="F58" s="3" t="str">
        <f t="shared" si="2"/>
        <v>2025</v>
      </c>
      <c r="G58" s="4">
        <f t="shared" si="3"/>
        <v>8</v>
      </c>
      <c r="H58" s="3" t="str">
        <f t="shared" si="4"/>
        <v>Q-3</v>
      </c>
      <c r="I58" t="s">
        <v>503</v>
      </c>
      <c r="J58" t="s">
        <v>64</v>
      </c>
      <c r="K58">
        <v>30</v>
      </c>
      <c r="L58" s="5">
        <v>6500</v>
      </c>
      <c r="M58">
        <v>3</v>
      </c>
      <c r="N58" t="s">
        <v>70</v>
      </c>
      <c r="O58" t="s">
        <v>506</v>
      </c>
      <c r="P58" t="s">
        <v>25</v>
      </c>
      <c r="Q58" s="5">
        <f>Table1[[#This Row],[Quantity]]*Table1[[#This Row],[Unit_Price]]</f>
        <v>195000</v>
      </c>
      <c r="R58" t="str">
        <f>IF(Table1[[#This Row],[Delivery_Days]]&lt;=3,"Fast",IF(Table1[[#This Row],[Delivery_Days]]&lt;=7,"Normal","Late"))</f>
        <v>Fast</v>
      </c>
    </row>
    <row r="59" spans="1:18" x14ac:dyDescent="0.35">
      <c r="A59" t="s">
        <v>115</v>
      </c>
      <c r="B59" t="str">
        <f t="shared" si="0"/>
        <v>APX1386</v>
      </c>
      <c r="C59" s="3" t="s">
        <v>116</v>
      </c>
      <c r="D59" s="3">
        <f>IF(ISNUMBER(C59), C59, DATE(RIGHT(C59, 4), MATCH(LEFT(C59, 3), {"Jan","Feb","Mar","Apr","May","Jun","Jul","Aug","Sep","Oct","Nov","Dec"}, 0), MID(C59, 5, 2)))</f>
        <v>45673</v>
      </c>
      <c r="E59" s="3" t="str">
        <f t="shared" si="1"/>
        <v>Jan</v>
      </c>
      <c r="F59" s="3" t="str">
        <f t="shared" si="2"/>
        <v>2025</v>
      </c>
      <c r="G59" s="4">
        <f t="shared" si="3"/>
        <v>1</v>
      </c>
      <c r="H59" s="3" t="str">
        <f t="shared" si="4"/>
        <v>Q-1</v>
      </c>
      <c r="I59" t="s">
        <v>11</v>
      </c>
      <c r="J59" t="s">
        <v>28</v>
      </c>
      <c r="K59">
        <v>12</v>
      </c>
      <c r="L59" s="5">
        <v>39428</v>
      </c>
      <c r="M59">
        <v>3</v>
      </c>
      <c r="N59" t="s">
        <v>560</v>
      </c>
      <c r="O59" t="s">
        <v>14</v>
      </c>
      <c r="P59" t="s">
        <v>25</v>
      </c>
      <c r="Q59" s="5">
        <f>Table1[[#This Row],[Quantity]]*Table1[[#This Row],[Unit_Price]]</f>
        <v>473136</v>
      </c>
      <c r="R59" t="str">
        <f>IF(Table1[[#This Row],[Delivery_Days]]&lt;=3,"Fast",IF(Table1[[#This Row],[Delivery_Days]]&lt;=7,"Normal","Late"))</f>
        <v>Fast</v>
      </c>
    </row>
    <row r="60" spans="1:18" x14ac:dyDescent="0.35">
      <c r="A60" t="s">
        <v>117</v>
      </c>
      <c r="B60" t="str">
        <f t="shared" si="0"/>
        <v>APX1362</v>
      </c>
      <c r="C60" s="3" t="s">
        <v>118</v>
      </c>
      <c r="D60" s="3">
        <f>IF(ISNUMBER(C60), C60, DATE(RIGHT(C60, 4), MATCH(LEFT(C60, 3), {"Jan","Feb","Mar","Apr","May","Jun","Jul","Aug","Sep","Oct","Nov","Dec"}, 0), MID(C60, 5, 2)))</f>
        <v>45806</v>
      </c>
      <c r="E60" s="3" t="str">
        <f t="shared" si="1"/>
        <v>May</v>
      </c>
      <c r="F60" s="3" t="str">
        <f t="shared" si="2"/>
        <v>2025</v>
      </c>
      <c r="G60" s="4">
        <f t="shared" si="3"/>
        <v>5</v>
      </c>
      <c r="H60" s="3" t="str">
        <f t="shared" si="4"/>
        <v>Q-2</v>
      </c>
      <c r="I60" t="s">
        <v>503</v>
      </c>
      <c r="J60" t="s">
        <v>32</v>
      </c>
      <c r="K60">
        <v>2500</v>
      </c>
      <c r="L60" s="5">
        <v>6500</v>
      </c>
      <c r="M60">
        <v>95</v>
      </c>
      <c r="N60" t="s">
        <v>505</v>
      </c>
      <c r="O60" t="s">
        <v>46</v>
      </c>
      <c r="P60" t="s">
        <v>74</v>
      </c>
      <c r="Q60" s="5">
        <f>Table1[[#This Row],[Quantity]]*Table1[[#This Row],[Unit_Price]]</f>
        <v>16250000</v>
      </c>
      <c r="R60" t="str">
        <f>IF(Table1[[#This Row],[Delivery_Days]]&lt;=3,"Fast",IF(Table1[[#This Row],[Delivery_Days]]&lt;=7,"Normal","Late"))</f>
        <v>Late</v>
      </c>
    </row>
    <row r="61" spans="1:18" x14ac:dyDescent="0.35">
      <c r="A61" t="s">
        <v>119</v>
      </c>
      <c r="B61" t="str">
        <f t="shared" si="0"/>
        <v>APX1423</v>
      </c>
      <c r="C61" s="3" t="s">
        <v>120</v>
      </c>
      <c r="D61" s="3">
        <f>IF(ISNUMBER(C61), C61, DATE(RIGHT(C61, 4), MATCH(LEFT(C61, 3), {"Jan","Feb","Mar","Apr","May","Jun","Jul","Aug","Sep","Oct","Nov","Dec"}, 0), MID(C61, 5, 2)))</f>
        <v>46003</v>
      </c>
      <c r="E61" s="3" t="str">
        <f t="shared" si="1"/>
        <v>Dec</v>
      </c>
      <c r="F61" s="3" t="str">
        <f t="shared" si="2"/>
        <v>2025</v>
      </c>
      <c r="G61" s="4">
        <f t="shared" si="3"/>
        <v>12</v>
      </c>
      <c r="H61" s="3" t="str">
        <f t="shared" si="4"/>
        <v>Q-4</v>
      </c>
      <c r="I61" t="s">
        <v>503</v>
      </c>
      <c r="J61" t="s">
        <v>32</v>
      </c>
      <c r="K61">
        <v>12</v>
      </c>
      <c r="L61" s="5">
        <v>6500</v>
      </c>
      <c r="M61">
        <v>2</v>
      </c>
      <c r="N61" t="s">
        <v>505</v>
      </c>
      <c r="O61" t="s">
        <v>506</v>
      </c>
      <c r="P61" t="s">
        <v>42</v>
      </c>
      <c r="Q61" s="5">
        <f>Table1[[#This Row],[Quantity]]*Table1[[#This Row],[Unit_Price]]</f>
        <v>78000</v>
      </c>
      <c r="R61" t="str">
        <f>IF(Table1[[#This Row],[Delivery_Days]]&lt;=3,"Fast",IF(Table1[[#This Row],[Delivery_Days]]&lt;=7,"Normal","Late"))</f>
        <v>Fast</v>
      </c>
    </row>
    <row r="62" spans="1:18" x14ac:dyDescent="0.35">
      <c r="A62">
        <v>1188</v>
      </c>
      <c r="B62" t="str">
        <f t="shared" si="0"/>
        <v>APX1188</v>
      </c>
      <c r="C62" s="3">
        <v>46006</v>
      </c>
      <c r="D62" s="3">
        <f>IF(ISNUMBER(C62), C62, DATE(RIGHT(C62, 4), MATCH(LEFT(C62, 3), {"Jan","Feb","Mar","Apr","May","Jun","Jul","Aug","Sep","Oct","Nov","Dec"}, 0), MID(C62, 5, 2)))</f>
        <v>46006</v>
      </c>
      <c r="E62" s="3" t="str">
        <f t="shared" si="1"/>
        <v>Dec</v>
      </c>
      <c r="F62" s="3" t="str">
        <f t="shared" si="2"/>
        <v>2025</v>
      </c>
      <c r="G62" s="4">
        <f t="shared" si="3"/>
        <v>12</v>
      </c>
      <c r="H62" s="3" t="str">
        <f t="shared" si="4"/>
        <v>Q-4</v>
      </c>
      <c r="I62" t="s">
        <v>503</v>
      </c>
      <c r="J62" t="s">
        <v>39</v>
      </c>
      <c r="K62">
        <v>30</v>
      </c>
      <c r="L62" s="5">
        <v>15779</v>
      </c>
      <c r="M62">
        <v>3</v>
      </c>
      <c r="N62" t="s">
        <v>40</v>
      </c>
      <c r="O62" t="s">
        <v>506</v>
      </c>
      <c r="P62" t="s">
        <v>25</v>
      </c>
      <c r="Q62" s="5">
        <f>Table1[[#This Row],[Quantity]]*Table1[[#This Row],[Unit_Price]]</f>
        <v>473370</v>
      </c>
      <c r="R62" t="str">
        <f>IF(Table1[[#This Row],[Delivery_Days]]&lt;=3,"Fast",IF(Table1[[#This Row],[Delivery_Days]]&lt;=7,"Normal","Late"))</f>
        <v>Fast</v>
      </c>
    </row>
    <row r="63" spans="1:18" x14ac:dyDescent="0.35">
      <c r="A63" t="s">
        <v>122</v>
      </c>
      <c r="B63" t="str">
        <f t="shared" si="0"/>
        <v>APX1204</v>
      </c>
      <c r="C63" s="3" t="s">
        <v>123</v>
      </c>
      <c r="D63" s="3">
        <f>IF(ISNUMBER(C63), C63, DATE(RIGHT(C63, 4), MATCH(LEFT(C63, 3), {"Jan","Feb","Mar","Apr","May","Jun","Jul","Aug","Sep","Oct","Nov","Dec"}, 0), MID(C63, 5, 2)))</f>
        <v>45831</v>
      </c>
      <c r="E63" s="3" t="str">
        <f t="shared" si="1"/>
        <v>Jun</v>
      </c>
      <c r="F63" s="3" t="str">
        <f t="shared" si="2"/>
        <v>2025</v>
      </c>
      <c r="G63" s="4">
        <f t="shared" si="3"/>
        <v>6</v>
      </c>
      <c r="H63" s="3" t="str">
        <f t="shared" si="4"/>
        <v>Q-2</v>
      </c>
      <c r="I63" t="s">
        <v>510</v>
      </c>
      <c r="J63" t="s">
        <v>32</v>
      </c>
      <c r="K63">
        <v>28</v>
      </c>
      <c r="L63" s="5">
        <v>23317</v>
      </c>
      <c r="M63">
        <v>14</v>
      </c>
      <c r="N63" t="s">
        <v>70</v>
      </c>
      <c r="O63" t="s">
        <v>506</v>
      </c>
      <c r="P63" t="s">
        <v>25</v>
      </c>
      <c r="Q63" s="5">
        <f>Table1[[#This Row],[Quantity]]*Table1[[#This Row],[Unit_Price]]</f>
        <v>652876</v>
      </c>
      <c r="R63" t="str">
        <f>IF(Table1[[#This Row],[Delivery_Days]]&lt;=3,"Fast",IF(Table1[[#This Row],[Delivery_Days]]&lt;=7,"Normal","Late"))</f>
        <v>Late</v>
      </c>
    </row>
    <row r="64" spans="1:18" x14ac:dyDescent="0.35">
      <c r="A64" t="s">
        <v>124</v>
      </c>
      <c r="B64" t="str">
        <f t="shared" si="0"/>
        <v>APX1105</v>
      </c>
      <c r="C64" s="3">
        <v>45810</v>
      </c>
      <c r="D64" s="3">
        <f>IF(ISNUMBER(C64), C64, DATE(RIGHT(C64, 4), MATCH(LEFT(C64, 3), {"Jan","Feb","Mar","Apr","May","Jun","Jul","Aug","Sep","Oct","Nov","Dec"}, 0), MID(C64, 5, 2)))</f>
        <v>45810</v>
      </c>
      <c r="E64" s="3" t="str">
        <f t="shared" si="1"/>
        <v>Jun</v>
      </c>
      <c r="F64" s="3" t="str">
        <f t="shared" si="2"/>
        <v>2025</v>
      </c>
      <c r="G64" s="4">
        <f t="shared" si="3"/>
        <v>6</v>
      </c>
      <c r="H64" s="3" t="str">
        <f t="shared" si="4"/>
        <v>Q-2</v>
      </c>
      <c r="I64" t="s">
        <v>76</v>
      </c>
      <c r="J64" t="s">
        <v>89</v>
      </c>
      <c r="K64">
        <v>12</v>
      </c>
      <c r="L64" s="5">
        <v>4500</v>
      </c>
      <c r="M64">
        <v>7</v>
      </c>
      <c r="N64" t="s">
        <v>560</v>
      </c>
      <c r="O64" t="s">
        <v>46</v>
      </c>
      <c r="P64" t="s">
        <v>25</v>
      </c>
      <c r="Q64" s="5">
        <f>Table1[[#This Row],[Quantity]]*Table1[[#This Row],[Unit_Price]]</f>
        <v>54000</v>
      </c>
      <c r="R64" t="str">
        <f>IF(Table1[[#This Row],[Delivery_Days]]&lt;=3,"Fast",IF(Table1[[#This Row],[Delivery_Days]]&lt;=7,"Normal","Late"))</f>
        <v>Normal</v>
      </c>
    </row>
    <row r="65" spans="1:18" x14ac:dyDescent="0.35">
      <c r="A65" t="s">
        <v>125</v>
      </c>
      <c r="B65" t="str">
        <f t="shared" si="0"/>
        <v>APX1254</v>
      </c>
      <c r="C65" s="3">
        <v>45858</v>
      </c>
      <c r="D65" s="3">
        <f>IF(ISNUMBER(C65), C65, DATE(RIGHT(C65, 4), MATCH(LEFT(C65, 3), {"Jan","Feb","Mar","Apr","May","Jun","Jul","Aug","Sep","Oct","Nov","Dec"}, 0), MID(C65, 5, 2)))</f>
        <v>45858</v>
      </c>
      <c r="E65" s="3" t="str">
        <f t="shared" si="1"/>
        <v>Jul</v>
      </c>
      <c r="F65" s="3" t="str">
        <f t="shared" si="2"/>
        <v>2025</v>
      </c>
      <c r="G65" s="4">
        <f t="shared" si="3"/>
        <v>7</v>
      </c>
      <c r="H65" s="3" t="str">
        <f t="shared" si="4"/>
        <v>Q-3</v>
      </c>
      <c r="I65" t="s">
        <v>11</v>
      </c>
      <c r="J65" t="s">
        <v>32</v>
      </c>
      <c r="K65">
        <v>173</v>
      </c>
      <c r="L65" s="5">
        <v>800</v>
      </c>
      <c r="M65">
        <v>95</v>
      </c>
      <c r="N65" t="s">
        <v>70</v>
      </c>
      <c r="O65" t="s">
        <v>14</v>
      </c>
      <c r="P65" t="s">
        <v>25</v>
      </c>
      <c r="Q65" s="5">
        <f>Table1[[#This Row],[Quantity]]*Table1[[#This Row],[Unit_Price]]</f>
        <v>138400</v>
      </c>
      <c r="R65" t="str">
        <f>IF(Table1[[#This Row],[Delivery_Days]]&lt;=3,"Fast",IF(Table1[[#This Row],[Delivery_Days]]&lt;=7,"Normal","Late"))</f>
        <v>Late</v>
      </c>
    </row>
    <row r="66" spans="1:18" x14ac:dyDescent="0.35">
      <c r="A66" t="s">
        <v>126</v>
      </c>
      <c r="B66" t="str">
        <f t="shared" si="0"/>
        <v>APX1363</v>
      </c>
      <c r="C66" s="3" t="s">
        <v>127</v>
      </c>
      <c r="D66" s="3">
        <f>IF(ISNUMBER(C66), C66, DATE(RIGHT(C66, 4), MATCH(LEFT(C66, 3), {"Jan","Feb","Mar","Apr","May","Jun","Jul","Aug","Sep","Oct","Nov","Dec"}, 0), MID(C66, 5, 2)))</f>
        <v>45685</v>
      </c>
      <c r="E66" s="3" t="str">
        <f t="shared" si="1"/>
        <v>Jan</v>
      </c>
      <c r="F66" s="3" t="str">
        <f t="shared" si="2"/>
        <v>2025</v>
      </c>
      <c r="G66" s="4">
        <f t="shared" si="3"/>
        <v>1</v>
      </c>
      <c r="H66" s="3" t="str">
        <f t="shared" si="4"/>
        <v>Q-1</v>
      </c>
      <c r="I66" t="s">
        <v>503</v>
      </c>
      <c r="J66" t="s">
        <v>32</v>
      </c>
      <c r="K66">
        <v>163</v>
      </c>
      <c r="L66" s="5">
        <v>850000</v>
      </c>
      <c r="M66">
        <v>3</v>
      </c>
      <c r="N66" t="s">
        <v>70</v>
      </c>
      <c r="O66" t="s">
        <v>14</v>
      </c>
      <c r="P66" t="s">
        <v>25</v>
      </c>
      <c r="Q66" s="5">
        <f>Table1[[#This Row],[Quantity]]*Table1[[#This Row],[Unit_Price]]</f>
        <v>138550000</v>
      </c>
      <c r="R66" t="str">
        <f>IF(Table1[[#This Row],[Delivery_Days]]&lt;=3,"Fast",IF(Table1[[#This Row],[Delivery_Days]]&lt;=7,"Normal","Late"))</f>
        <v>Fast</v>
      </c>
    </row>
    <row r="67" spans="1:18" x14ac:dyDescent="0.35">
      <c r="A67">
        <v>1210</v>
      </c>
      <c r="B67" t="str">
        <f t="shared" ref="B67:B130" si="5">IF(LEFT(A67,3)="APX",A67,"APX" &amp; A67)</f>
        <v>APX1210</v>
      </c>
      <c r="C67" s="3">
        <v>45929</v>
      </c>
      <c r="D67" s="3">
        <f>IF(ISNUMBER(C67), C67, DATE(RIGHT(C67, 4), MATCH(LEFT(C67, 3), {"Jan","Feb","Mar","Apr","May","Jun","Jul","Aug","Sep","Oct","Nov","Dec"}, 0), MID(C67, 5, 2)))</f>
        <v>45929</v>
      </c>
      <c r="E67" s="3" t="str">
        <f t="shared" ref="E67:E130" si="6">TEXT(D67,"mmm")</f>
        <v>Sep</v>
      </c>
      <c r="F67" s="3" t="str">
        <f t="shared" ref="F67:F130" si="7">TEXT(D67,"yyyy")</f>
        <v>2025</v>
      </c>
      <c r="G67" s="4">
        <f t="shared" ref="G67:G130" si="8">MONTH(D67)</f>
        <v>9</v>
      </c>
      <c r="H67" s="3" t="str">
        <f t="shared" ref="H67:H130" si="9">IF(G67&lt;=3,"Q-1",IF(G67&lt;=6,"Q-2",IF(G67&lt;9,"Q-3","Q-4")))</f>
        <v>Q-4</v>
      </c>
      <c r="I67" t="s">
        <v>510</v>
      </c>
      <c r="J67" t="s">
        <v>32</v>
      </c>
      <c r="K67">
        <v>30</v>
      </c>
      <c r="L67" s="5">
        <v>850000</v>
      </c>
      <c r="M67">
        <v>11</v>
      </c>
      <c r="N67" t="s">
        <v>70</v>
      </c>
      <c r="O67" t="s">
        <v>46</v>
      </c>
      <c r="P67" t="s">
        <v>25</v>
      </c>
      <c r="Q67" s="5">
        <f>Table1[[#This Row],[Quantity]]*Table1[[#This Row],[Unit_Price]]</f>
        <v>25500000</v>
      </c>
      <c r="R67" t="str">
        <f>IF(Table1[[#This Row],[Delivery_Days]]&lt;=3,"Fast",IF(Table1[[#This Row],[Delivery_Days]]&lt;=7,"Normal","Late"))</f>
        <v>Late</v>
      </c>
    </row>
    <row r="68" spans="1:18" x14ac:dyDescent="0.35">
      <c r="A68" t="s">
        <v>128</v>
      </c>
      <c r="B68" t="str">
        <f t="shared" si="5"/>
        <v>APX1265</v>
      </c>
      <c r="C68" s="3">
        <v>45823</v>
      </c>
      <c r="D68" s="3">
        <f>IF(ISNUMBER(C68), C68, DATE(RIGHT(C68, 4), MATCH(LEFT(C68, 3), {"Jan","Feb","Mar","Apr","May","Jun","Jul","Aug","Sep","Oct","Nov","Dec"}, 0), MID(C68, 5, 2)))</f>
        <v>45823</v>
      </c>
      <c r="E68" s="3" t="str">
        <f t="shared" si="6"/>
        <v>Jun</v>
      </c>
      <c r="F68" s="3" t="str">
        <f t="shared" si="7"/>
        <v>2025</v>
      </c>
      <c r="G68" s="4">
        <f t="shared" si="8"/>
        <v>6</v>
      </c>
      <c r="H68" s="3" t="str">
        <f t="shared" si="9"/>
        <v>Q-2</v>
      </c>
      <c r="I68" t="s">
        <v>11</v>
      </c>
      <c r="J68" t="s">
        <v>89</v>
      </c>
      <c r="K68">
        <v>12</v>
      </c>
      <c r="L68" s="5">
        <v>11991</v>
      </c>
      <c r="M68">
        <v>3</v>
      </c>
      <c r="N68" t="s">
        <v>70</v>
      </c>
      <c r="O68" t="s">
        <v>506</v>
      </c>
      <c r="P68" t="s">
        <v>25</v>
      </c>
      <c r="Q68" s="5">
        <f>Table1[[#This Row],[Quantity]]*Table1[[#This Row],[Unit_Price]]</f>
        <v>143892</v>
      </c>
      <c r="R68" t="str">
        <f>IF(Table1[[#This Row],[Delivery_Days]]&lt;=3,"Fast",IF(Table1[[#This Row],[Delivery_Days]]&lt;=7,"Normal","Late"))</f>
        <v>Fast</v>
      </c>
    </row>
    <row r="69" spans="1:18" x14ac:dyDescent="0.35">
      <c r="A69" t="s">
        <v>130</v>
      </c>
      <c r="B69" t="str">
        <f t="shared" si="5"/>
        <v>APX1251</v>
      </c>
      <c r="C69" s="3" t="s">
        <v>131</v>
      </c>
      <c r="D69" s="3">
        <f>IF(ISNUMBER(C69), C69, DATE(RIGHT(C69, 4), MATCH(LEFT(C69, 3), {"Jan","Feb","Mar","Apr","May","Jun","Jul","Aug","Sep","Oct","Nov","Dec"}, 0), MID(C69, 5, 2)))</f>
        <v>45787</v>
      </c>
      <c r="E69" s="3" t="str">
        <f t="shared" si="6"/>
        <v>May</v>
      </c>
      <c r="F69" s="3" t="str">
        <f t="shared" si="7"/>
        <v>2025</v>
      </c>
      <c r="G69" s="4">
        <f t="shared" si="8"/>
        <v>5</v>
      </c>
      <c r="H69" s="3" t="str">
        <f t="shared" si="9"/>
        <v>Q-2</v>
      </c>
      <c r="I69" t="s">
        <v>503</v>
      </c>
      <c r="J69" t="s">
        <v>28</v>
      </c>
      <c r="K69">
        <v>2500</v>
      </c>
      <c r="L69" s="5">
        <v>6500</v>
      </c>
      <c r="M69">
        <v>95</v>
      </c>
      <c r="N69" t="s">
        <v>505</v>
      </c>
      <c r="O69" t="s">
        <v>46</v>
      </c>
      <c r="P69" t="s">
        <v>15</v>
      </c>
      <c r="Q69" s="5">
        <f>Table1[[#This Row],[Quantity]]*Table1[[#This Row],[Unit_Price]]</f>
        <v>16250000</v>
      </c>
      <c r="R69" t="str">
        <f>IF(Table1[[#This Row],[Delivery_Days]]&lt;=3,"Fast",IF(Table1[[#This Row],[Delivery_Days]]&lt;=7,"Normal","Late"))</f>
        <v>Late</v>
      </c>
    </row>
    <row r="70" spans="1:18" x14ac:dyDescent="0.35">
      <c r="A70">
        <v>1247</v>
      </c>
      <c r="B70" t="str">
        <f t="shared" si="5"/>
        <v>APX1247</v>
      </c>
      <c r="C70" s="3">
        <v>45749</v>
      </c>
      <c r="D70" s="3">
        <f>IF(ISNUMBER(C70), C70, DATE(RIGHT(C70, 4), MATCH(LEFT(C70, 3), {"Jan","Feb","Mar","Apr","May","Jun","Jul","Aug","Sep","Oct","Nov","Dec"}, 0), MID(C70, 5, 2)))</f>
        <v>45749</v>
      </c>
      <c r="E70" s="3" t="str">
        <f t="shared" si="6"/>
        <v>Apr</v>
      </c>
      <c r="F70" s="3" t="str">
        <f t="shared" si="7"/>
        <v>2025</v>
      </c>
      <c r="G70" s="4">
        <f t="shared" si="8"/>
        <v>4</v>
      </c>
      <c r="H70" s="3" t="str">
        <f t="shared" si="9"/>
        <v>Q-2</v>
      </c>
      <c r="I70" t="s">
        <v>11</v>
      </c>
      <c r="J70" t="s">
        <v>39</v>
      </c>
      <c r="K70">
        <v>12</v>
      </c>
      <c r="L70" s="5">
        <v>800</v>
      </c>
      <c r="M70">
        <v>9</v>
      </c>
      <c r="N70" t="s">
        <v>504</v>
      </c>
      <c r="O70" t="s">
        <v>506</v>
      </c>
      <c r="P70" t="s">
        <v>25</v>
      </c>
      <c r="Q70" s="5">
        <f>Table1[[#This Row],[Quantity]]*Table1[[#This Row],[Unit_Price]]</f>
        <v>9600</v>
      </c>
      <c r="R70" t="str">
        <f>IF(Table1[[#This Row],[Delivery_Days]]&lt;=3,"Fast",IF(Table1[[#This Row],[Delivery_Days]]&lt;=7,"Normal","Late"))</f>
        <v>Late</v>
      </c>
    </row>
    <row r="71" spans="1:18" x14ac:dyDescent="0.35">
      <c r="A71">
        <v>1061</v>
      </c>
      <c r="B71" t="str">
        <f t="shared" si="5"/>
        <v>APX1061</v>
      </c>
      <c r="C71" s="3" t="s">
        <v>132</v>
      </c>
      <c r="D71" s="3">
        <f>IF(ISNUMBER(C71), C71, DATE(RIGHT(C71, 4), MATCH(LEFT(C71, 3), {"Jan","Feb","Mar","Apr","May","Jun","Jul","Aug","Sep","Oct","Nov","Dec"}, 0), MID(C71, 5, 2)))</f>
        <v>45848</v>
      </c>
      <c r="E71" s="3" t="str">
        <f t="shared" si="6"/>
        <v>Jul</v>
      </c>
      <c r="F71" s="3" t="str">
        <f t="shared" si="7"/>
        <v>2025</v>
      </c>
      <c r="G71" s="4">
        <f t="shared" si="8"/>
        <v>7</v>
      </c>
      <c r="H71" s="3" t="str">
        <f t="shared" si="9"/>
        <v>Q-3</v>
      </c>
      <c r="I71" t="s">
        <v>503</v>
      </c>
      <c r="J71" t="s">
        <v>28</v>
      </c>
      <c r="K71">
        <v>25</v>
      </c>
      <c r="L71" s="5">
        <v>4500</v>
      </c>
      <c r="M71">
        <v>3</v>
      </c>
      <c r="N71" t="s">
        <v>40</v>
      </c>
      <c r="O71" t="s">
        <v>506</v>
      </c>
      <c r="P71" t="s">
        <v>25</v>
      </c>
      <c r="Q71" s="5">
        <f>Table1[[#This Row],[Quantity]]*Table1[[#This Row],[Unit_Price]]</f>
        <v>112500</v>
      </c>
      <c r="R71" t="str">
        <f>IF(Table1[[#This Row],[Delivery_Days]]&lt;=3,"Fast",IF(Table1[[#This Row],[Delivery_Days]]&lt;=7,"Normal","Late"))</f>
        <v>Fast</v>
      </c>
    </row>
    <row r="72" spans="1:18" x14ac:dyDescent="0.35">
      <c r="A72" t="s">
        <v>133</v>
      </c>
      <c r="B72" t="str">
        <f t="shared" si="5"/>
        <v>APX1007</v>
      </c>
      <c r="C72" s="3">
        <v>45944</v>
      </c>
      <c r="D72" s="3">
        <f>IF(ISNUMBER(C72), C72, DATE(RIGHT(C72, 4), MATCH(LEFT(C72, 3), {"Jan","Feb","Mar","Apr","May","Jun","Jul","Aug","Sep","Oct","Nov","Dec"}, 0), MID(C72, 5, 2)))</f>
        <v>45944</v>
      </c>
      <c r="E72" s="3" t="str">
        <f t="shared" si="6"/>
        <v>Oct</v>
      </c>
      <c r="F72" s="3" t="str">
        <f t="shared" si="7"/>
        <v>2025</v>
      </c>
      <c r="G72" s="4">
        <f t="shared" si="8"/>
        <v>10</v>
      </c>
      <c r="H72" s="3" t="str">
        <f t="shared" si="9"/>
        <v>Q-4</v>
      </c>
      <c r="I72" t="s">
        <v>510</v>
      </c>
      <c r="J72" t="s">
        <v>89</v>
      </c>
      <c r="K72">
        <v>26</v>
      </c>
      <c r="L72" s="5">
        <v>4500</v>
      </c>
      <c r="M72">
        <v>95</v>
      </c>
      <c r="N72" t="s">
        <v>70</v>
      </c>
      <c r="O72" t="s">
        <v>506</v>
      </c>
      <c r="P72" t="s">
        <v>74</v>
      </c>
      <c r="Q72" s="5">
        <f>Table1[[#This Row],[Quantity]]*Table1[[#This Row],[Unit_Price]]</f>
        <v>117000</v>
      </c>
      <c r="R72" t="str">
        <f>IF(Table1[[#This Row],[Delivery_Days]]&lt;=3,"Fast",IF(Table1[[#This Row],[Delivery_Days]]&lt;=7,"Normal","Late"))</f>
        <v>Late</v>
      </c>
    </row>
    <row r="73" spans="1:18" x14ac:dyDescent="0.35">
      <c r="A73" t="s">
        <v>135</v>
      </c>
      <c r="B73" t="str">
        <f t="shared" si="5"/>
        <v>APX1145</v>
      </c>
      <c r="C73" s="3">
        <v>45672</v>
      </c>
      <c r="D73" s="3">
        <f>IF(ISNUMBER(C73), C73, DATE(RIGHT(C73, 4), MATCH(LEFT(C73, 3), {"Jan","Feb","Mar","Apr","May","Jun","Jul","Aug","Sep","Oct","Nov","Dec"}, 0), MID(C73, 5, 2)))</f>
        <v>45672</v>
      </c>
      <c r="E73" s="3" t="str">
        <f t="shared" si="6"/>
        <v>Jan</v>
      </c>
      <c r="F73" s="3" t="str">
        <f t="shared" si="7"/>
        <v>2025</v>
      </c>
      <c r="G73" s="4">
        <f t="shared" si="8"/>
        <v>1</v>
      </c>
      <c r="H73" s="3" t="str">
        <f t="shared" si="9"/>
        <v>Q-1</v>
      </c>
      <c r="I73" t="s">
        <v>76</v>
      </c>
      <c r="J73" t="s">
        <v>64</v>
      </c>
      <c r="K73">
        <v>30</v>
      </c>
      <c r="L73" s="5">
        <v>33206</v>
      </c>
      <c r="M73">
        <v>95</v>
      </c>
      <c r="N73" t="s">
        <v>504</v>
      </c>
      <c r="O73" t="s">
        <v>506</v>
      </c>
      <c r="P73" t="s">
        <v>42</v>
      </c>
      <c r="Q73" s="5">
        <f>Table1[[#This Row],[Quantity]]*Table1[[#This Row],[Unit_Price]]</f>
        <v>996180</v>
      </c>
      <c r="R73" t="str">
        <f>IF(Table1[[#This Row],[Delivery_Days]]&lt;=3,"Fast",IF(Table1[[#This Row],[Delivery_Days]]&lt;=7,"Normal","Late"))</f>
        <v>Late</v>
      </c>
    </row>
    <row r="74" spans="1:18" x14ac:dyDescent="0.35">
      <c r="A74" t="s">
        <v>136</v>
      </c>
      <c r="B74" t="str">
        <f t="shared" si="5"/>
        <v>APX1114</v>
      </c>
      <c r="C74" s="3">
        <v>45715</v>
      </c>
      <c r="D74" s="3">
        <f>IF(ISNUMBER(C74), C74, DATE(RIGHT(C74, 4), MATCH(LEFT(C74, 3), {"Jan","Feb","Mar","Apr","May","Jun","Jul","Aug","Sep","Oct","Nov","Dec"}, 0), MID(C74, 5, 2)))</f>
        <v>45715</v>
      </c>
      <c r="E74" s="3" t="str">
        <f t="shared" si="6"/>
        <v>Feb</v>
      </c>
      <c r="F74" s="3" t="str">
        <f t="shared" si="7"/>
        <v>2025</v>
      </c>
      <c r="G74" s="4">
        <f t="shared" si="8"/>
        <v>2</v>
      </c>
      <c r="H74" s="3" t="str">
        <f t="shared" si="9"/>
        <v>Q-1</v>
      </c>
      <c r="I74" t="s">
        <v>510</v>
      </c>
      <c r="J74" t="s">
        <v>73</v>
      </c>
      <c r="K74">
        <v>2500</v>
      </c>
      <c r="L74" s="5">
        <v>2289</v>
      </c>
      <c r="M74">
        <v>3</v>
      </c>
      <c r="N74" t="s">
        <v>70</v>
      </c>
      <c r="O74" t="s">
        <v>506</v>
      </c>
      <c r="P74" t="s">
        <v>25</v>
      </c>
      <c r="Q74" s="5">
        <f>Table1[[#This Row],[Quantity]]*Table1[[#This Row],[Unit_Price]]</f>
        <v>5722500</v>
      </c>
      <c r="R74" t="str">
        <f>IF(Table1[[#This Row],[Delivery_Days]]&lt;=3,"Fast",IF(Table1[[#This Row],[Delivery_Days]]&lt;=7,"Normal","Late"))</f>
        <v>Fast</v>
      </c>
    </row>
    <row r="75" spans="1:18" x14ac:dyDescent="0.35">
      <c r="A75" t="s">
        <v>137</v>
      </c>
      <c r="B75" t="str">
        <f t="shared" si="5"/>
        <v>APX1218</v>
      </c>
      <c r="C75" s="3" t="s">
        <v>138</v>
      </c>
      <c r="D75" s="3">
        <f>IF(ISNUMBER(C75), C75, DATE(RIGHT(C75, 4), MATCH(LEFT(C75, 3), {"Jan","Feb","Mar","Apr","May","Jun","Jul","Aug","Sep","Oct","Nov","Dec"}, 0), MID(C75, 5, 2)))</f>
        <v>45867</v>
      </c>
      <c r="E75" s="3" t="str">
        <f t="shared" si="6"/>
        <v>Jul</v>
      </c>
      <c r="F75" s="3" t="str">
        <f t="shared" si="7"/>
        <v>2025</v>
      </c>
      <c r="G75" s="4">
        <f t="shared" si="8"/>
        <v>7</v>
      </c>
      <c r="H75" s="3" t="str">
        <f t="shared" si="9"/>
        <v>Q-3</v>
      </c>
      <c r="I75" t="s">
        <v>76</v>
      </c>
      <c r="J75" t="s">
        <v>32</v>
      </c>
      <c r="K75">
        <v>30</v>
      </c>
      <c r="L75" s="5">
        <v>850000</v>
      </c>
      <c r="M75">
        <v>3</v>
      </c>
      <c r="N75" t="s">
        <v>505</v>
      </c>
      <c r="O75" t="s">
        <v>14</v>
      </c>
      <c r="P75" t="s">
        <v>25</v>
      </c>
      <c r="Q75" s="5">
        <f>Table1[[#This Row],[Quantity]]*Table1[[#This Row],[Unit_Price]]</f>
        <v>25500000</v>
      </c>
      <c r="R75" t="str">
        <f>IF(Table1[[#This Row],[Delivery_Days]]&lt;=3,"Fast",IF(Table1[[#This Row],[Delivery_Days]]&lt;=7,"Normal","Late"))</f>
        <v>Fast</v>
      </c>
    </row>
    <row r="76" spans="1:18" x14ac:dyDescent="0.35">
      <c r="A76" t="s">
        <v>139</v>
      </c>
      <c r="B76" t="str">
        <f t="shared" si="5"/>
        <v>APX1065</v>
      </c>
      <c r="C76" s="3">
        <v>45670</v>
      </c>
      <c r="D76" s="3">
        <f>IF(ISNUMBER(C76), C76, DATE(RIGHT(C76, 4), MATCH(LEFT(C76, 3), {"Jan","Feb","Mar","Apr","May","Jun","Jul","Aug","Sep","Oct","Nov","Dec"}, 0), MID(C76, 5, 2)))</f>
        <v>45670</v>
      </c>
      <c r="E76" s="3" t="str">
        <f t="shared" si="6"/>
        <v>Jan</v>
      </c>
      <c r="F76" s="3" t="str">
        <f t="shared" si="7"/>
        <v>2025</v>
      </c>
      <c r="G76" s="4">
        <f t="shared" si="8"/>
        <v>1</v>
      </c>
      <c r="H76" s="3" t="str">
        <f t="shared" si="9"/>
        <v>Q-1</v>
      </c>
      <c r="I76" t="s">
        <v>11</v>
      </c>
      <c r="J76" t="s">
        <v>32</v>
      </c>
      <c r="K76">
        <v>12</v>
      </c>
      <c r="L76" s="5">
        <v>850000</v>
      </c>
      <c r="M76">
        <v>12</v>
      </c>
      <c r="N76" t="s">
        <v>40</v>
      </c>
      <c r="O76" t="s">
        <v>506</v>
      </c>
      <c r="P76" t="s">
        <v>25</v>
      </c>
      <c r="Q76" s="5">
        <f>Table1[[#This Row],[Quantity]]*Table1[[#This Row],[Unit_Price]]</f>
        <v>10200000</v>
      </c>
      <c r="R76" t="str">
        <f>IF(Table1[[#This Row],[Delivery_Days]]&lt;=3,"Fast",IF(Table1[[#This Row],[Delivery_Days]]&lt;=7,"Normal","Late"))</f>
        <v>Late</v>
      </c>
    </row>
    <row r="77" spans="1:18" x14ac:dyDescent="0.35">
      <c r="A77" t="s">
        <v>140</v>
      </c>
      <c r="B77" t="str">
        <f t="shared" si="5"/>
        <v>APX1071</v>
      </c>
      <c r="C77" s="3">
        <v>45871</v>
      </c>
      <c r="D77" s="3">
        <f>IF(ISNUMBER(C77), C77, DATE(RIGHT(C77, 4), MATCH(LEFT(C77, 3), {"Jan","Feb","Mar","Apr","May","Jun","Jul","Aug","Sep","Oct","Nov","Dec"}, 0), MID(C77, 5, 2)))</f>
        <v>45871</v>
      </c>
      <c r="E77" s="3" t="str">
        <f t="shared" si="6"/>
        <v>Aug</v>
      </c>
      <c r="F77" s="3" t="str">
        <f t="shared" si="7"/>
        <v>2025</v>
      </c>
      <c r="G77" s="4">
        <f t="shared" si="8"/>
        <v>8</v>
      </c>
      <c r="H77" s="3" t="str">
        <f t="shared" si="9"/>
        <v>Q-3</v>
      </c>
      <c r="I77" t="s">
        <v>76</v>
      </c>
      <c r="J77" t="s">
        <v>28</v>
      </c>
      <c r="K77">
        <v>154</v>
      </c>
      <c r="L77" s="5">
        <v>850000</v>
      </c>
      <c r="M77">
        <v>13</v>
      </c>
      <c r="N77" t="s">
        <v>70</v>
      </c>
      <c r="O77" t="s">
        <v>506</v>
      </c>
      <c r="P77" t="s">
        <v>42</v>
      </c>
      <c r="Q77" s="5">
        <f>Table1[[#This Row],[Quantity]]*Table1[[#This Row],[Unit_Price]]</f>
        <v>130900000</v>
      </c>
      <c r="R77" t="str">
        <f>IF(Table1[[#This Row],[Delivery_Days]]&lt;=3,"Fast",IF(Table1[[#This Row],[Delivery_Days]]&lt;=7,"Normal","Late"))</f>
        <v>Late</v>
      </c>
    </row>
    <row r="78" spans="1:18" x14ac:dyDescent="0.35">
      <c r="A78" t="s">
        <v>92</v>
      </c>
      <c r="B78" t="str">
        <f t="shared" si="5"/>
        <v>APX1232</v>
      </c>
      <c r="C78" s="3">
        <v>45900</v>
      </c>
      <c r="D78" s="3">
        <f>IF(ISNUMBER(C78), C78, DATE(RIGHT(C78, 4), MATCH(LEFT(C78, 3), {"Jan","Feb","Mar","Apr","May","Jun","Jul","Aug","Sep","Oct","Nov","Dec"}, 0), MID(C78, 5, 2)))</f>
        <v>45900</v>
      </c>
      <c r="E78" s="3" t="str">
        <f t="shared" si="6"/>
        <v>Aug</v>
      </c>
      <c r="F78" s="3" t="str">
        <f t="shared" si="7"/>
        <v>2025</v>
      </c>
      <c r="G78" s="4">
        <f t="shared" si="8"/>
        <v>8</v>
      </c>
      <c r="H78" s="3" t="str">
        <f t="shared" si="9"/>
        <v>Q-3</v>
      </c>
      <c r="I78" t="s">
        <v>503</v>
      </c>
      <c r="J78" t="s">
        <v>32</v>
      </c>
      <c r="K78">
        <v>30</v>
      </c>
      <c r="L78" s="5">
        <v>4500</v>
      </c>
      <c r="M78">
        <v>14</v>
      </c>
      <c r="N78" t="s">
        <v>40</v>
      </c>
      <c r="O78" t="s">
        <v>46</v>
      </c>
      <c r="P78" t="s">
        <v>25</v>
      </c>
      <c r="Q78" s="5">
        <f>Table1[[#This Row],[Quantity]]*Table1[[#This Row],[Unit_Price]]</f>
        <v>135000</v>
      </c>
      <c r="R78" t="str">
        <f>IF(Table1[[#This Row],[Delivery_Days]]&lt;=3,"Fast",IF(Table1[[#This Row],[Delivery_Days]]&lt;=7,"Normal","Late"))</f>
        <v>Late</v>
      </c>
    </row>
    <row r="79" spans="1:18" x14ac:dyDescent="0.35">
      <c r="A79" t="s">
        <v>141</v>
      </c>
      <c r="B79" t="str">
        <f t="shared" si="5"/>
        <v>APX1264</v>
      </c>
      <c r="C79" s="3">
        <v>45746</v>
      </c>
      <c r="D79" s="3">
        <f>IF(ISNUMBER(C79), C79, DATE(RIGHT(C79, 4), MATCH(LEFT(C79, 3), {"Jan","Feb","Mar","Apr","May","Jun","Jul","Aug","Sep","Oct","Nov","Dec"}, 0), MID(C79, 5, 2)))</f>
        <v>45746</v>
      </c>
      <c r="E79" s="3" t="str">
        <f t="shared" si="6"/>
        <v>Mar</v>
      </c>
      <c r="F79" s="3" t="str">
        <f t="shared" si="7"/>
        <v>2025</v>
      </c>
      <c r="G79" s="4">
        <f t="shared" si="8"/>
        <v>3</v>
      </c>
      <c r="H79" s="3" t="str">
        <f t="shared" si="9"/>
        <v>Q-1</v>
      </c>
      <c r="I79" t="s">
        <v>17</v>
      </c>
      <c r="J79" t="s">
        <v>39</v>
      </c>
      <c r="K79">
        <v>183</v>
      </c>
      <c r="L79" s="5">
        <v>8670</v>
      </c>
      <c r="M79">
        <v>3</v>
      </c>
      <c r="N79" t="s">
        <v>40</v>
      </c>
      <c r="O79" t="s">
        <v>14</v>
      </c>
      <c r="P79" t="s">
        <v>74</v>
      </c>
      <c r="Q79" s="5">
        <f>Table1[[#This Row],[Quantity]]*Table1[[#This Row],[Unit_Price]]</f>
        <v>1586610</v>
      </c>
      <c r="R79" t="str">
        <f>IF(Table1[[#This Row],[Delivery_Days]]&lt;=3,"Fast",IF(Table1[[#This Row],[Delivery_Days]]&lt;=7,"Normal","Late"))</f>
        <v>Fast</v>
      </c>
    </row>
    <row r="80" spans="1:18" x14ac:dyDescent="0.35">
      <c r="A80" t="s">
        <v>142</v>
      </c>
      <c r="B80" t="str">
        <f t="shared" si="5"/>
        <v>APX1203</v>
      </c>
      <c r="C80" s="3">
        <v>45943</v>
      </c>
      <c r="D80" s="3">
        <f>IF(ISNUMBER(C80), C80, DATE(RIGHT(C80, 4), MATCH(LEFT(C80, 3), {"Jan","Feb","Mar","Apr","May","Jun","Jul","Aug","Sep","Oct","Nov","Dec"}, 0), MID(C80, 5, 2)))</f>
        <v>45943</v>
      </c>
      <c r="E80" s="3" t="str">
        <f t="shared" si="6"/>
        <v>Oct</v>
      </c>
      <c r="F80" s="3" t="str">
        <f t="shared" si="7"/>
        <v>2025</v>
      </c>
      <c r="G80" s="4">
        <f t="shared" si="8"/>
        <v>10</v>
      </c>
      <c r="H80" s="3" t="str">
        <f t="shared" si="9"/>
        <v>Q-4</v>
      </c>
      <c r="I80" t="s">
        <v>76</v>
      </c>
      <c r="J80" t="s">
        <v>73</v>
      </c>
      <c r="K80">
        <v>12</v>
      </c>
      <c r="L80" s="5">
        <v>32861</v>
      </c>
      <c r="M80">
        <v>12</v>
      </c>
      <c r="N80" t="s">
        <v>70</v>
      </c>
      <c r="O80" t="s">
        <v>506</v>
      </c>
      <c r="P80" t="s">
        <v>42</v>
      </c>
      <c r="Q80" s="5">
        <f>Table1[[#This Row],[Quantity]]*Table1[[#This Row],[Unit_Price]]</f>
        <v>394332</v>
      </c>
      <c r="R80" t="str">
        <f>IF(Table1[[#This Row],[Delivery_Days]]&lt;=3,"Fast",IF(Table1[[#This Row],[Delivery_Days]]&lt;=7,"Normal","Late"))</f>
        <v>Late</v>
      </c>
    </row>
    <row r="81" spans="1:18" x14ac:dyDescent="0.35">
      <c r="A81" t="s">
        <v>96</v>
      </c>
      <c r="B81" t="str">
        <f t="shared" si="5"/>
        <v>APX1024</v>
      </c>
      <c r="C81" s="3" t="s">
        <v>143</v>
      </c>
      <c r="D81" s="3">
        <f>IF(ISNUMBER(C81), C81, DATE(RIGHT(C81, 4), MATCH(LEFT(C81, 3), {"Jan","Feb","Mar","Apr","May","Jun","Jul","Aug","Sep","Oct","Nov","Dec"}, 0), MID(C81, 5, 2)))</f>
        <v>46014</v>
      </c>
      <c r="E81" s="3" t="str">
        <f t="shared" si="6"/>
        <v>Dec</v>
      </c>
      <c r="F81" s="3" t="str">
        <f t="shared" si="7"/>
        <v>2025</v>
      </c>
      <c r="G81" s="4">
        <f t="shared" si="8"/>
        <v>12</v>
      </c>
      <c r="H81" s="3" t="str">
        <f t="shared" si="9"/>
        <v>Q-4</v>
      </c>
      <c r="I81" t="s">
        <v>502</v>
      </c>
      <c r="J81" t="s">
        <v>32</v>
      </c>
      <c r="K81">
        <v>2500</v>
      </c>
      <c r="L81" s="5">
        <v>8888</v>
      </c>
      <c r="M81">
        <v>95</v>
      </c>
      <c r="N81" t="s">
        <v>504</v>
      </c>
      <c r="O81" t="s">
        <v>506</v>
      </c>
      <c r="P81" t="s">
        <v>25</v>
      </c>
      <c r="Q81" s="5">
        <f>Table1[[#This Row],[Quantity]]*Table1[[#This Row],[Unit_Price]]</f>
        <v>22220000</v>
      </c>
      <c r="R81" t="str">
        <f>IF(Table1[[#This Row],[Delivery_Days]]&lt;=3,"Fast",IF(Table1[[#This Row],[Delivery_Days]]&lt;=7,"Normal","Late"))</f>
        <v>Late</v>
      </c>
    </row>
    <row r="82" spans="1:18" x14ac:dyDescent="0.35">
      <c r="A82" t="s">
        <v>144</v>
      </c>
      <c r="B82" t="str">
        <f t="shared" si="5"/>
        <v>APX1031</v>
      </c>
      <c r="C82" s="3">
        <v>45844</v>
      </c>
      <c r="D82" s="3">
        <f>IF(ISNUMBER(C82), C82, DATE(RIGHT(C82, 4), MATCH(LEFT(C82, 3), {"Jan","Feb","Mar","Apr","May","Jun","Jul","Aug","Sep","Oct","Nov","Dec"}, 0), MID(C82, 5, 2)))</f>
        <v>45844</v>
      </c>
      <c r="E82" s="3" t="str">
        <f t="shared" si="6"/>
        <v>Jul</v>
      </c>
      <c r="F82" s="3" t="str">
        <f t="shared" si="7"/>
        <v>2025</v>
      </c>
      <c r="G82" s="4">
        <f t="shared" si="8"/>
        <v>7</v>
      </c>
      <c r="H82" s="3" t="str">
        <f t="shared" si="9"/>
        <v>Q-3</v>
      </c>
      <c r="I82" t="s">
        <v>502</v>
      </c>
      <c r="J82" t="s">
        <v>39</v>
      </c>
      <c r="K82">
        <v>12</v>
      </c>
      <c r="L82" s="5">
        <v>800</v>
      </c>
      <c r="M82">
        <v>3</v>
      </c>
      <c r="N82" t="s">
        <v>70</v>
      </c>
      <c r="O82" t="s">
        <v>506</v>
      </c>
      <c r="P82" t="s">
        <v>74</v>
      </c>
      <c r="Q82" s="5">
        <f>Table1[[#This Row],[Quantity]]*Table1[[#This Row],[Unit_Price]]</f>
        <v>9600</v>
      </c>
      <c r="R82" t="str">
        <f>IF(Table1[[#This Row],[Delivery_Days]]&lt;=3,"Fast",IF(Table1[[#This Row],[Delivery_Days]]&lt;=7,"Normal","Late"))</f>
        <v>Fast</v>
      </c>
    </row>
    <row r="83" spans="1:18" x14ac:dyDescent="0.35">
      <c r="A83" t="s">
        <v>145</v>
      </c>
      <c r="B83" t="str">
        <f t="shared" si="5"/>
        <v>APX1311</v>
      </c>
      <c r="C83" s="3" t="s">
        <v>146</v>
      </c>
      <c r="D83" s="3">
        <f>IF(ISNUMBER(C83), C83, DATE(RIGHT(C83, 4), MATCH(LEFT(C83, 3), {"Jan","Feb","Mar","Apr","May","Jun","Jul","Aug","Sep","Oct","Nov","Dec"}, 0), MID(C83, 5, 2)))</f>
        <v>45982</v>
      </c>
      <c r="E83" s="3" t="str">
        <f t="shared" si="6"/>
        <v>Nov</v>
      </c>
      <c r="F83" s="3" t="str">
        <f t="shared" si="7"/>
        <v>2025</v>
      </c>
      <c r="G83" s="4">
        <f t="shared" si="8"/>
        <v>11</v>
      </c>
      <c r="H83" s="3" t="str">
        <f t="shared" si="9"/>
        <v>Q-4</v>
      </c>
      <c r="I83" t="s">
        <v>17</v>
      </c>
      <c r="J83" t="s">
        <v>73</v>
      </c>
      <c r="K83">
        <v>2500</v>
      </c>
      <c r="L83" s="5">
        <v>6500</v>
      </c>
      <c r="M83">
        <v>3</v>
      </c>
      <c r="N83" t="s">
        <v>70</v>
      </c>
      <c r="O83" t="s">
        <v>506</v>
      </c>
      <c r="P83" t="s">
        <v>25</v>
      </c>
      <c r="Q83" s="5">
        <f>Table1[[#This Row],[Quantity]]*Table1[[#This Row],[Unit_Price]]</f>
        <v>16250000</v>
      </c>
      <c r="R83" t="str">
        <f>IF(Table1[[#This Row],[Delivery_Days]]&lt;=3,"Fast",IF(Table1[[#This Row],[Delivery_Days]]&lt;=7,"Normal","Late"))</f>
        <v>Fast</v>
      </c>
    </row>
    <row r="84" spans="1:18" x14ac:dyDescent="0.35">
      <c r="A84" t="s">
        <v>147</v>
      </c>
      <c r="B84" t="str">
        <f t="shared" si="5"/>
        <v>APX1219</v>
      </c>
      <c r="C84" s="3">
        <v>45750</v>
      </c>
      <c r="D84" s="3">
        <f>IF(ISNUMBER(C84), C84, DATE(RIGHT(C84, 4), MATCH(LEFT(C84, 3), {"Jan","Feb","Mar","Apr","May","Jun","Jul","Aug","Sep","Oct","Nov","Dec"}, 0), MID(C84, 5, 2)))</f>
        <v>45750</v>
      </c>
      <c r="E84" s="3" t="str">
        <f t="shared" si="6"/>
        <v>Apr</v>
      </c>
      <c r="F84" s="3" t="str">
        <f t="shared" si="7"/>
        <v>2025</v>
      </c>
      <c r="G84" s="4">
        <f t="shared" si="8"/>
        <v>4</v>
      </c>
      <c r="H84" s="3" t="str">
        <f t="shared" si="9"/>
        <v>Q-2</v>
      </c>
      <c r="I84" t="s">
        <v>76</v>
      </c>
      <c r="J84" t="s">
        <v>39</v>
      </c>
      <c r="K84">
        <v>146</v>
      </c>
      <c r="L84" s="5">
        <v>4500</v>
      </c>
      <c r="M84">
        <v>95</v>
      </c>
      <c r="N84" t="s">
        <v>40</v>
      </c>
      <c r="O84" t="s">
        <v>14</v>
      </c>
      <c r="P84" t="s">
        <v>15</v>
      </c>
      <c r="Q84" s="5">
        <f>Table1[[#This Row],[Quantity]]*Table1[[#This Row],[Unit_Price]]</f>
        <v>657000</v>
      </c>
      <c r="R84" t="str">
        <f>IF(Table1[[#This Row],[Delivery_Days]]&lt;=3,"Fast",IF(Table1[[#This Row],[Delivery_Days]]&lt;=7,"Normal","Late"))</f>
        <v>Late</v>
      </c>
    </row>
    <row r="85" spans="1:18" x14ac:dyDescent="0.35">
      <c r="A85" t="s">
        <v>148</v>
      </c>
      <c r="B85" t="str">
        <f t="shared" si="5"/>
        <v>APX1175</v>
      </c>
      <c r="C85" s="3">
        <v>45923</v>
      </c>
      <c r="D85" s="3">
        <f>IF(ISNUMBER(C85), C85, DATE(RIGHT(C85, 4), MATCH(LEFT(C85, 3), {"Jan","Feb","Mar","Apr","May","Jun","Jul","Aug","Sep","Oct","Nov","Dec"}, 0), MID(C85, 5, 2)))</f>
        <v>45923</v>
      </c>
      <c r="E85" s="3" t="str">
        <f t="shared" si="6"/>
        <v>Sep</v>
      </c>
      <c r="F85" s="3" t="str">
        <f t="shared" si="7"/>
        <v>2025</v>
      </c>
      <c r="G85" s="4">
        <f t="shared" si="8"/>
        <v>9</v>
      </c>
      <c r="H85" s="3" t="str">
        <f t="shared" si="9"/>
        <v>Q-4</v>
      </c>
      <c r="I85" t="s">
        <v>76</v>
      </c>
      <c r="J85" t="s">
        <v>32</v>
      </c>
      <c r="K85">
        <v>2500</v>
      </c>
      <c r="L85" s="5">
        <v>850000</v>
      </c>
      <c r="M85">
        <v>11</v>
      </c>
      <c r="N85" t="s">
        <v>504</v>
      </c>
      <c r="O85" t="s">
        <v>506</v>
      </c>
      <c r="P85" t="s">
        <v>25</v>
      </c>
      <c r="Q85" s="5">
        <f>Table1[[#This Row],[Quantity]]*Table1[[#This Row],[Unit_Price]]</f>
        <v>2125000000</v>
      </c>
      <c r="R85" t="str">
        <f>IF(Table1[[#This Row],[Delivery_Days]]&lt;=3,"Fast",IF(Table1[[#This Row],[Delivery_Days]]&lt;=7,"Normal","Late"))</f>
        <v>Late</v>
      </c>
    </row>
    <row r="86" spans="1:18" x14ac:dyDescent="0.35">
      <c r="A86" t="s">
        <v>149</v>
      </c>
      <c r="B86" t="str">
        <f t="shared" si="5"/>
        <v>APX1391</v>
      </c>
      <c r="C86" s="3">
        <v>45794</v>
      </c>
      <c r="D86" s="3">
        <f>IF(ISNUMBER(C86), C86, DATE(RIGHT(C86, 4), MATCH(LEFT(C86, 3), {"Jan","Feb","Mar","Apr","May","Jun","Jul","Aug","Sep","Oct","Nov","Dec"}, 0), MID(C86, 5, 2)))</f>
        <v>45794</v>
      </c>
      <c r="E86" s="3" t="str">
        <f t="shared" si="6"/>
        <v>May</v>
      </c>
      <c r="F86" s="3" t="str">
        <f t="shared" si="7"/>
        <v>2025</v>
      </c>
      <c r="G86" s="4">
        <f t="shared" si="8"/>
        <v>5</v>
      </c>
      <c r="H86" s="3" t="str">
        <f t="shared" si="9"/>
        <v>Q-2</v>
      </c>
      <c r="I86" t="s">
        <v>503</v>
      </c>
      <c r="J86" t="s">
        <v>64</v>
      </c>
      <c r="K86">
        <v>2500</v>
      </c>
      <c r="L86" s="5">
        <v>800</v>
      </c>
      <c r="M86">
        <v>3</v>
      </c>
      <c r="N86" t="s">
        <v>40</v>
      </c>
      <c r="O86" t="s">
        <v>506</v>
      </c>
      <c r="P86" t="s">
        <v>25</v>
      </c>
      <c r="Q86" s="5">
        <f>Table1[[#This Row],[Quantity]]*Table1[[#This Row],[Unit_Price]]</f>
        <v>2000000</v>
      </c>
      <c r="R86" t="str">
        <f>IF(Table1[[#This Row],[Delivery_Days]]&lt;=3,"Fast",IF(Table1[[#This Row],[Delivery_Days]]&lt;=7,"Normal","Late"))</f>
        <v>Fast</v>
      </c>
    </row>
    <row r="87" spans="1:18" x14ac:dyDescent="0.35">
      <c r="A87">
        <v>1223</v>
      </c>
      <c r="B87" t="str">
        <f t="shared" si="5"/>
        <v>APX1223</v>
      </c>
      <c r="C87" s="3" t="s">
        <v>150</v>
      </c>
      <c r="D87" s="3">
        <f>IF(ISNUMBER(C87), C87, DATE(RIGHT(C87, 4), MATCH(LEFT(C87, 3), {"Jan","Feb","Mar","Apr","May","Jun","Jul","Aug","Sep","Oct","Nov","Dec"}, 0), MID(C87, 5, 2)))</f>
        <v>45784</v>
      </c>
      <c r="E87" s="3" t="str">
        <f t="shared" si="6"/>
        <v>May</v>
      </c>
      <c r="F87" s="3" t="str">
        <f t="shared" si="7"/>
        <v>2025</v>
      </c>
      <c r="G87" s="4">
        <f t="shared" si="8"/>
        <v>5</v>
      </c>
      <c r="H87" s="3" t="str">
        <f t="shared" si="9"/>
        <v>Q-2</v>
      </c>
      <c r="I87" t="s">
        <v>76</v>
      </c>
      <c r="J87" t="s">
        <v>73</v>
      </c>
      <c r="K87">
        <v>12</v>
      </c>
      <c r="L87" s="5">
        <v>800</v>
      </c>
      <c r="M87">
        <v>3</v>
      </c>
      <c r="N87" t="s">
        <v>40</v>
      </c>
      <c r="O87" t="s">
        <v>14</v>
      </c>
      <c r="P87" t="s">
        <v>42</v>
      </c>
      <c r="Q87" s="5">
        <f>Table1[[#This Row],[Quantity]]*Table1[[#This Row],[Unit_Price]]</f>
        <v>9600</v>
      </c>
      <c r="R87" t="str">
        <f>IF(Table1[[#This Row],[Delivery_Days]]&lt;=3,"Fast",IF(Table1[[#This Row],[Delivery_Days]]&lt;=7,"Normal","Late"))</f>
        <v>Fast</v>
      </c>
    </row>
    <row r="88" spans="1:18" x14ac:dyDescent="0.35">
      <c r="A88" t="s">
        <v>151</v>
      </c>
      <c r="B88" t="str">
        <f t="shared" si="5"/>
        <v>APX1307</v>
      </c>
      <c r="C88" s="3" t="s">
        <v>152</v>
      </c>
      <c r="D88" s="3">
        <f>IF(ISNUMBER(C88), C88, DATE(RIGHT(C88, 4), MATCH(LEFT(C88, 3), {"Jan","Feb","Mar","Apr","May","Jun","Jul","Aug","Sep","Oct","Nov","Dec"}, 0), MID(C88, 5, 2)))</f>
        <v>45761</v>
      </c>
      <c r="E88" s="3" t="str">
        <f t="shared" si="6"/>
        <v>Apr</v>
      </c>
      <c r="F88" s="3" t="str">
        <f t="shared" si="7"/>
        <v>2025</v>
      </c>
      <c r="G88" s="4">
        <f t="shared" si="8"/>
        <v>4</v>
      </c>
      <c r="H88" s="3" t="str">
        <f t="shared" si="9"/>
        <v>Q-2</v>
      </c>
      <c r="I88" t="s">
        <v>11</v>
      </c>
      <c r="J88" t="s">
        <v>28</v>
      </c>
      <c r="K88">
        <v>30</v>
      </c>
      <c r="L88" s="5">
        <v>800</v>
      </c>
      <c r="M88">
        <v>5</v>
      </c>
      <c r="N88" t="s">
        <v>40</v>
      </c>
      <c r="O88" t="s">
        <v>14</v>
      </c>
      <c r="P88" t="s">
        <v>25</v>
      </c>
      <c r="Q88" s="5">
        <f>Table1[[#This Row],[Quantity]]*Table1[[#This Row],[Unit_Price]]</f>
        <v>24000</v>
      </c>
      <c r="R88" t="str">
        <f>IF(Table1[[#This Row],[Delivery_Days]]&lt;=3,"Fast",IF(Table1[[#This Row],[Delivery_Days]]&lt;=7,"Normal","Late"))</f>
        <v>Normal</v>
      </c>
    </row>
    <row r="89" spans="1:18" x14ac:dyDescent="0.35">
      <c r="A89">
        <v>1041</v>
      </c>
      <c r="B89" t="str">
        <f t="shared" si="5"/>
        <v>APX1041</v>
      </c>
      <c r="C89" s="3">
        <v>46007</v>
      </c>
      <c r="D89" s="3">
        <f>IF(ISNUMBER(C89), C89, DATE(RIGHT(C89, 4), MATCH(LEFT(C89, 3), {"Jan","Feb","Mar","Apr","May","Jun","Jul","Aug","Sep","Oct","Nov","Dec"}, 0), MID(C89, 5, 2)))</f>
        <v>46007</v>
      </c>
      <c r="E89" s="3" t="str">
        <f t="shared" si="6"/>
        <v>Dec</v>
      </c>
      <c r="F89" s="3" t="str">
        <f t="shared" si="7"/>
        <v>2025</v>
      </c>
      <c r="G89" s="4">
        <f t="shared" si="8"/>
        <v>12</v>
      </c>
      <c r="H89" s="3" t="str">
        <f t="shared" si="9"/>
        <v>Q-4</v>
      </c>
      <c r="I89" t="s">
        <v>510</v>
      </c>
      <c r="J89" t="s">
        <v>32</v>
      </c>
      <c r="K89">
        <v>192</v>
      </c>
      <c r="L89" s="5">
        <v>800</v>
      </c>
      <c r="M89">
        <v>3</v>
      </c>
      <c r="N89" t="s">
        <v>70</v>
      </c>
      <c r="O89" t="s">
        <v>506</v>
      </c>
      <c r="P89" t="s">
        <v>42</v>
      </c>
      <c r="Q89" s="5">
        <f>Table1[[#This Row],[Quantity]]*Table1[[#This Row],[Unit_Price]]</f>
        <v>153600</v>
      </c>
      <c r="R89" t="str">
        <f>IF(Table1[[#This Row],[Delivery_Days]]&lt;=3,"Fast",IF(Table1[[#This Row],[Delivery_Days]]&lt;=7,"Normal","Late"))</f>
        <v>Fast</v>
      </c>
    </row>
    <row r="90" spans="1:18" x14ac:dyDescent="0.35">
      <c r="A90" t="s">
        <v>154</v>
      </c>
      <c r="B90" t="str">
        <f t="shared" si="5"/>
        <v>APX1263</v>
      </c>
      <c r="C90" s="3">
        <v>45852</v>
      </c>
      <c r="D90" s="3">
        <f>IF(ISNUMBER(C90), C90, DATE(RIGHT(C90, 4), MATCH(LEFT(C90, 3), {"Jan","Feb","Mar","Apr","May","Jun","Jul","Aug","Sep","Oct","Nov","Dec"}, 0), MID(C90, 5, 2)))</f>
        <v>45852</v>
      </c>
      <c r="E90" s="3" t="str">
        <f t="shared" si="6"/>
        <v>Jul</v>
      </c>
      <c r="F90" s="3" t="str">
        <f t="shared" si="7"/>
        <v>2025</v>
      </c>
      <c r="G90" s="4">
        <f t="shared" si="8"/>
        <v>7</v>
      </c>
      <c r="H90" s="3" t="str">
        <f t="shared" si="9"/>
        <v>Q-3</v>
      </c>
      <c r="I90" t="s">
        <v>17</v>
      </c>
      <c r="J90" t="s">
        <v>32</v>
      </c>
      <c r="K90">
        <v>30</v>
      </c>
      <c r="L90" s="5">
        <v>850000</v>
      </c>
      <c r="M90">
        <v>1</v>
      </c>
      <c r="N90" t="s">
        <v>40</v>
      </c>
      <c r="O90" t="s">
        <v>506</v>
      </c>
      <c r="P90" t="s">
        <v>42</v>
      </c>
      <c r="Q90" s="5">
        <f>Table1[[#This Row],[Quantity]]*Table1[[#This Row],[Unit_Price]]</f>
        <v>25500000</v>
      </c>
      <c r="R90" t="str">
        <f>IF(Table1[[#This Row],[Delivery_Days]]&lt;=3,"Fast",IF(Table1[[#This Row],[Delivery_Days]]&lt;=7,"Normal","Late"))</f>
        <v>Fast</v>
      </c>
    </row>
    <row r="91" spans="1:18" x14ac:dyDescent="0.35">
      <c r="A91" t="s">
        <v>156</v>
      </c>
      <c r="B91" t="str">
        <f t="shared" si="5"/>
        <v>APX1364</v>
      </c>
      <c r="C91" s="3" t="s">
        <v>157</v>
      </c>
      <c r="D91" s="3">
        <f>IF(ISNUMBER(C91), C91, DATE(RIGHT(C91, 4), MATCH(LEFT(C91, 3), {"Jan","Feb","Mar","Apr","May","Jun","Jul","Aug","Sep","Oct","Nov","Dec"}, 0), MID(C91, 5, 2)))</f>
        <v>45930</v>
      </c>
      <c r="E91" s="3" t="str">
        <f t="shared" si="6"/>
        <v>Sep</v>
      </c>
      <c r="F91" s="3" t="str">
        <f t="shared" si="7"/>
        <v>2025</v>
      </c>
      <c r="G91" s="4">
        <f t="shared" si="8"/>
        <v>9</v>
      </c>
      <c r="H91" s="3" t="str">
        <f t="shared" si="9"/>
        <v>Q-4</v>
      </c>
      <c r="I91" t="s">
        <v>76</v>
      </c>
      <c r="J91" t="s">
        <v>32</v>
      </c>
      <c r="K91">
        <v>2500</v>
      </c>
      <c r="L91" s="5">
        <v>4054</v>
      </c>
      <c r="M91">
        <v>10</v>
      </c>
      <c r="N91" t="s">
        <v>40</v>
      </c>
      <c r="O91" t="s">
        <v>506</v>
      </c>
      <c r="P91" t="s">
        <v>25</v>
      </c>
      <c r="Q91" s="5">
        <f>Table1[[#This Row],[Quantity]]*Table1[[#This Row],[Unit_Price]]</f>
        <v>10135000</v>
      </c>
      <c r="R91" t="str">
        <f>IF(Table1[[#This Row],[Delivery_Days]]&lt;=3,"Fast",IF(Table1[[#This Row],[Delivery_Days]]&lt;=7,"Normal","Late"))</f>
        <v>Late</v>
      </c>
    </row>
    <row r="92" spans="1:18" x14ac:dyDescent="0.35">
      <c r="A92" t="s">
        <v>52</v>
      </c>
      <c r="B92" t="str">
        <f t="shared" si="5"/>
        <v>APX1309</v>
      </c>
      <c r="C92" s="3">
        <v>45902</v>
      </c>
      <c r="D92" s="3">
        <f>IF(ISNUMBER(C92), C92, DATE(RIGHT(C92, 4), MATCH(LEFT(C92, 3), {"Jan","Feb","Mar","Apr","May","Jun","Jul","Aug","Sep","Oct","Nov","Dec"}, 0), MID(C92, 5, 2)))</f>
        <v>45902</v>
      </c>
      <c r="E92" s="3" t="str">
        <f t="shared" si="6"/>
        <v>Sep</v>
      </c>
      <c r="F92" s="3" t="str">
        <f t="shared" si="7"/>
        <v>2025</v>
      </c>
      <c r="G92" s="4">
        <f t="shared" si="8"/>
        <v>9</v>
      </c>
      <c r="H92" s="3" t="str">
        <f t="shared" si="9"/>
        <v>Q-4</v>
      </c>
      <c r="I92" t="s">
        <v>17</v>
      </c>
      <c r="J92" t="s">
        <v>32</v>
      </c>
      <c r="K92">
        <v>171</v>
      </c>
      <c r="L92" s="5">
        <v>4500</v>
      </c>
      <c r="M92">
        <v>9</v>
      </c>
      <c r="N92" t="s">
        <v>505</v>
      </c>
      <c r="O92" t="s">
        <v>506</v>
      </c>
      <c r="P92" t="s">
        <v>15</v>
      </c>
      <c r="Q92" s="5">
        <f>Table1[[#This Row],[Quantity]]*Table1[[#This Row],[Unit_Price]]</f>
        <v>769500</v>
      </c>
      <c r="R92" t="str">
        <f>IF(Table1[[#This Row],[Delivery_Days]]&lt;=3,"Fast",IF(Table1[[#This Row],[Delivery_Days]]&lt;=7,"Normal","Late"))</f>
        <v>Late</v>
      </c>
    </row>
    <row r="93" spans="1:18" x14ac:dyDescent="0.35">
      <c r="A93" t="s">
        <v>158</v>
      </c>
      <c r="B93" t="str">
        <f t="shared" si="5"/>
        <v>APX1375</v>
      </c>
      <c r="C93" s="3">
        <v>45919</v>
      </c>
      <c r="D93" s="3">
        <f>IF(ISNUMBER(C93), C93, DATE(RIGHT(C93, 4), MATCH(LEFT(C93, 3), {"Jan","Feb","Mar","Apr","May","Jun","Jul","Aug","Sep","Oct","Nov","Dec"}, 0), MID(C93, 5, 2)))</f>
        <v>45919</v>
      </c>
      <c r="E93" s="3" t="str">
        <f t="shared" si="6"/>
        <v>Sep</v>
      </c>
      <c r="F93" s="3" t="str">
        <f t="shared" si="7"/>
        <v>2025</v>
      </c>
      <c r="G93" s="4">
        <f t="shared" si="8"/>
        <v>9</v>
      </c>
      <c r="H93" s="3" t="str">
        <f t="shared" si="9"/>
        <v>Q-4</v>
      </c>
      <c r="I93" t="s">
        <v>502</v>
      </c>
      <c r="J93" t="s">
        <v>32</v>
      </c>
      <c r="K93">
        <v>30</v>
      </c>
      <c r="L93" s="5">
        <v>4500</v>
      </c>
      <c r="M93">
        <v>95</v>
      </c>
      <c r="N93" t="s">
        <v>70</v>
      </c>
      <c r="O93" t="s">
        <v>506</v>
      </c>
      <c r="P93" t="s">
        <v>15</v>
      </c>
      <c r="Q93" s="5">
        <f>Table1[[#This Row],[Quantity]]*Table1[[#This Row],[Unit_Price]]</f>
        <v>135000</v>
      </c>
      <c r="R93" t="str">
        <f>IF(Table1[[#This Row],[Delivery_Days]]&lt;=3,"Fast",IF(Table1[[#This Row],[Delivery_Days]]&lt;=7,"Normal","Late"))</f>
        <v>Late</v>
      </c>
    </row>
    <row r="94" spans="1:18" x14ac:dyDescent="0.35">
      <c r="A94" t="s">
        <v>159</v>
      </c>
      <c r="B94" t="str">
        <f t="shared" si="5"/>
        <v>APX1281</v>
      </c>
      <c r="C94" s="3">
        <v>45795</v>
      </c>
      <c r="D94" s="3">
        <f>IF(ISNUMBER(C94), C94, DATE(RIGHT(C94, 4), MATCH(LEFT(C94, 3), {"Jan","Feb","Mar","Apr","May","Jun","Jul","Aug","Sep","Oct","Nov","Dec"}, 0), MID(C94, 5, 2)))</f>
        <v>45795</v>
      </c>
      <c r="E94" s="3" t="str">
        <f t="shared" si="6"/>
        <v>May</v>
      </c>
      <c r="F94" s="3" t="str">
        <f t="shared" si="7"/>
        <v>2025</v>
      </c>
      <c r="G94" s="4">
        <f t="shared" si="8"/>
        <v>5</v>
      </c>
      <c r="H94" s="3" t="str">
        <f t="shared" si="9"/>
        <v>Q-2</v>
      </c>
      <c r="I94" t="s">
        <v>510</v>
      </c>
      <c r="J94" t="s">
        <v>39</v>
      </c>
      <c r="K94">
        <v>2500</v>
      </c>
      <c r="L94" s="5">
        <v>6500</v>
      </c>
      <c r="M94">
        <v>95</v>
      </c>
      <c r="N94" t="s">
        <v>40</v>
      </c>
      <c r="O94" t="s">
        <v>506</v>
      </c>
      <c r="P94" t="s">
        <v>25</v>
      </c>
      <c r="Q94" s="5">
        <f>Table1[[#This Row],[Quantity]]*Table1[[#This Row],[Unit_Price]]</f>
        <v>16250000</v>
      </c>
      <c r="R94" t="str">
        <f>IF(Table1[[#This Row],[Delivery_Days]]&lt;=3,"Fast",IF(Table1[[#This Row],[Delivery_Days]]&lt;=7,"Normal","Late"))</f>
        <v>Late</v>
      </c>
    </row>
    <row r="95" spans="1:18" x14ac:dyDescent="0.35">
      <c r="A95" t="s">
        <v>160</v>
      </c>
      <c r="B95" t="str">
        <f t="shared" si="5"/>
        <v>APX1112</v>
      </c>
      <c r="C95" s="3">
        <v>45926</v>
      </c>
      <c r="D95" s="3">
        <f>IF(ISNUMBER(C95), C95, DATE(RIGHT(C95, 4), MATCH(LEFT(C95, 3), {"Jan","Feb","Mar","Apr","May","Jun","Jul","Aug","Sep","Oct","Nov","Dec"}, 0), MID(C95, 5, 2)))</f>
        <v>45926</v>
      </c>
      <c r="E95" s="3" t="str">
        <f t="shared" si="6"/>
        <v>Sep</v>
      </c>
      <c r="F95" s="3" t="str">
        <f t="shared" si="7"/>
        <v>2025</v>
      </c>
      <c r="G95" s="4">
        <f t="shared" si="8"/>
        <v>9</v>
      </c>
      <c r="H95" s="3" t="str">
        <f t="shared" si="9"/>
        <v>Q-4</v>
      </c>
      <c r="I95" t="s">
        <v>76</v>
      </c>
      <c r="J95" t="s">
        <v>28</v>
      </c>
      <c r="K95">
        <v>2500</v>
      </c>
      <c r="L95" s="5">
        <v>4500</v>
      </c>
      <c r="M95">
        <v>8</v>
      </c>
      <c r="N95" t="s">
        <v>70</v>
      </c>
      <c r="O95" t="s">
        <v>506</v>
      </c>
      <c r="P95" t="s">
        <v>42</v>
      </c>
      <c r="Q95" s="5">
        <f>Table1[[#This Row],[Quantity]]*Table1[[#This Row],[Unit_Price]]</f>
        <v>11250000</v>
      </c>
      <c r="R95" t="str">
        <f>IF(Table1[[#This Row],[Delivery_Days]]&lt;=3,"Fast",IF(Table1[[#This Row],[Delivery_Days]]&lt;=7,"Normal","Late"))</f>
        <v>Late</v>
      </c>
    </row>
    <row r="96" spans="1:18" x14ac:dyDescent="0.35">
      <c r="A96" t="s">
        <v>161</v>
      </c>
      <c r="B96" t="str">
        <f t="shared" si="5"/>
        <v>APX1084</v>
      </c>
      <c r="C96" s="3">
        <v>45932</v>
      </c>
      <c r="D96" s="3">
        <f>IF(ISNUMBER(C96), C96, DATE(RIGHT(C96, 4), MATCH(LEFT(C96, 3), {"Jan","Feb","Mar","Apr","May","Jun","Jul","Aug","Sep","Oct","Nov","Dec"}, 0), MID(C96, 5, 2)))</f>
        <v>45932</v>
      </c>
      <c r="E96" s="3" t="str">
        <f t="shared" si="6"/>
        <v>Oct</v>
      </c>
      <c r="F96" s="3" t="str">
        <f t="shared" si="7"/>
        <v>2025</v>
      </c>
      <c r="G96" s="4">
        <f t="shared" si="8"/>
        <v>10</v>
      </c>
      <c r="H96" s="3" t="str">
        <f t="shared" si="9"/>
        <v>Q-4</v>
      </c>
      <c r="I96" t="s">
        <v>76</v>
      </c>
      <c r="J96" t="s">
        <v>39</v>
      </c>
      <c r="K96">
        <v>12</v>
      </c>
      <c r="L96" s="5">
        <v>800</v>
      </c>
      <c r="M96">
        <v>3</v>
      </c>
      <c r="N96" t="s">
        <v>70</v>
      </c>
      <c r="O96" t="s">
        <v>506</v>
      </c>
      <c r="P96" t="s">
        <v>25</v>
      </c>
      <c r="Q96" s="5">
        <f>Table1[[#This Row],[Quantity]]*Table1[[#This Row],[Unit_Price]]</f>
        <v>9600</v>
      </c>
      <c r="R96" t="str">
        <f>IF(Table1[[#This Row],[Delivery_Days]]&lt;=3,"Fast",IF(Table1[[#This Row],[Delivery_Days]]&lt;=7,"Normal","Late"))</f>
        <v>Fast</v>
      </c>
    </row>
    <row r="97" spans="1:18" x14ac:dyDescent="0.35">
      <c r="A97" t="s">
        <v>162</v>
      </c>
      <c r="B97" t="str">
        <f t="shared" si="5"/>
        <v>APX1308</v>
      </c>
      <c r="C97" s="3">
        <v>45892</v>
      </c>
      <c r="D97" s="3">
        <f>IF(ISNUMBER(C97), C97, DATE(RIGHT(C97, 4), MATCH(LEFT(C97, 3), {"Jan","Feb","Mar","Apr","May","Jun","Jul","Aug","Sep","Oct","Nov","Dec"}, 0), MID(C97, 5, 2)))</f>
        <v>45892</v>
      </c>
      <c r="E97" s="3" t="str">
        <f t="shared" si="6"/>
        <v>Aug</v>
      </c>
      <c r="F97" s="3" t="str">
        <f t="shared" si="7"/>
        <v>2025</v>
      </c>
      <c r="G97" s="4">
        <f t="shared" si="8"/>
        <v>8</v>
      </c>
      <c r="H97" s="3" t="str">
        <f t="shared" si="9"/>
        <v>Q-3</v>
      </c>
      <c r="I97" t="s">
        <v>76</v>
      </c>
      <c r="J97" t="s">
        <v>64</v>
      </c>
      <c r="K97">
        <v>2500</v>
      </c>
      <c r="L97" s="5">
        <v>6500</v>
      </c>
      <c r="M97">
        <v>95</v>
      </c>
      <c r="N97" t="s">
        <v>560</v>
      </c>
      <c r="O97" t="s">
        <v>506</v>
      </c>
      <c r="P97" t="s">
        <v>25</v>
      </c>
      <c r="Q97" s="5">
        <f>Table1[[#This Row],[Quantity]]*Table1[[#This Row],[Unit_Price]]</f>
        <v>16250000</v>
      </c>
      <c r="R97" t="str">
        <f>IF(Table1[[#This Row],[Delivery_Days]]&lt;=3,"Fast",IF(Table1[[#This Row],[Delivery_Days]]&lt;=7,"Normal","Late"))</f>
        <v>Late</v>
      </c>
    </row>
    <row r="98" spans="1:18" x14ac:dyDescent="0.35">
      <c r="A98" t="s">
        <v>163</v>
      </c>
      <c r="B98" t="str">
        <f t="shared" si="5"/>
        <v>APX1044</v>
      </c>
      <c r="C98" s="3">
        <v>45720</v>
      </c>
      <c r="D98" s="3">
        <f>IF(ISNUMBER(C98), C98, DATE(RIGHT(C98, 4), MATCH(LEFT(C98, 3), {"Jan","Feb","Mar","Apr","May","Jun","Jul","Aug","Sep","Oct","Nov","Dec"}, 0), MID(C98, 5, 2)))</f>
        <v>45720</v>
      </c>
      <c r="E98" s="3" t="str">
        <f t="shared" si="6"/>
        <v>Mar</v>
      </c>
      <c r="F98" s="3" t="str">
        <f t="shared" si="7"/>
        <v>2025</v>
      </c>
      <c r="G98" s="4">
        <f t="shared" si="8"/>
        <v>3</v>
      </c>
      <c r="H98" s="3" t="str">
        <f t="shared" si="9"/>
        <v>Q-1</v>
      </c>
      <c r="I98" t="s">
        <v>503</v>
      </c>
      <c r="J98" t="s">
        <v>39</v>
      </c>
      <c r="K98">
        <v>102</v>
      </c>
      <c r="L98" s="5">
        <v>800</v>
      </c>
      <c r="M98">
        <v>9</v>
      </c>
      <c r="N98" t="s">
        <v>40</v>
      </c>
      <c r="O98" t="s">
        <v>506</v>
      </c>
      <c r="P98" t="s">
        <v>25</v>
      </c>
      <c r="Q98" s="5">
        <f>Table1[[#This Row],[Quantity]]*Table1[[#This Row],[Unit_Price]]</f>
        <v>81600</v>
      </c>
      <c r="R98" t="str">
        <f>IF(Table1[[#This Row],[Delivery_Days]]&lt;=3,"Fast",IF(Table1[[#This Row],[Delivery_Days]]&lt;=7,"Normal","Late"))</f>
        <v>Late</v>
      </c>
    </row>
    <row r="99" spans="1:18" x14ac:dyDescent="0.35">
      <c r="A99" t="s">
        <v>164</v>
      </c>
      <c r="B99" t="str">
        <f t="shared" si="5"/>
        <v>APX1314</v>
      </c>
      <c r="C99" s="3">
        <v>45677</v>
      </c>
      <c r="D99" s="3">
        <f>IF(ISNUMBER(C99), C99, DATE(RIGHT(C99, 4), MATCH(LEFT(C99, 3), {"Jan","Feb","Mar","Apr","May","Jun","Jul","Aug","Sep","Oct","Nov","Dec"}, 0), MID(C99, 5, 2)))</f>
        <v>45677</v>
      </c>
      <c r="E99" s="3" t="str">
        <f t="shared" si="6"/>
        <v>Jan</v>
      </c>
      <c r="F99" s="3" t="str">
        <f t="shared" si="7"/>
        <v>2025</v>
      </c>
      <c r="G99" s="4">
        <f t="shared" si="8"/>
        <v>1</v>
      </c>
      <c r="H99" s="3" t="str">
        <f t="shared" si="9"/>
        <v>Q-1</v>
      </c>
      <c r="I99" t="s">
        <v>503</v>
      </c>
      <c r="J99" t="s">
        <v>64</v>
      </c>
      <c r="K99">
        <v>12</v>
      </c>
      <c r="L99" s="5">
        <v>6500</v>
      </c>
      <c r="M99">
        <v>2</v>
      </c>
      <c r="N99" t="s">
        <v>70</v>
      </c>
      <c r="O99" t="s">
        <v>506</v>
      </c>
      <c r="P99" t="s">
        <v>15</v>
      </c>
      <c r="Q99" s="5">
        <f>Table1[[#This Row],[Quantity]]*Table1[[#This Row],[Unit_Price]]</f>
        <v>78000</v>
      </c>
      <c r="R99" t="str">
        <f>IF(Table1[[#This Row],[Delivery_Days]]&lt;=3,"Fast",IF(Table1[[#This Row],[Delivery_Days]]&lt;=7,"Normal","Late"))</f>
        <v>Fast</v>
      </c>
    </row>
    <row r="100" spans="1:18" x14ac:dyDescent="0.35">
      <c r="A100">
        <v>1082</v>
      </c>
      <c r="B100" t="str">
        <f t="shared" si="5"/>
        <v>APX1082</v>
      </c>
      <c r="C100" s="3">
        <v>45721</v>
      </c>
      <c r="D100" s="3">
        <f>IF(ISNUMBER(C100), C100, DATE(RIGHT(C100, 4), MATCH(LEFT(C100, 3), {"Jan","Feb","Mar","Apr","May","Jun","Jul","Aug","Sep","Oct","Nov","Dec"}, 0), MID(C100, 5, 2)))</f>
        <v>45721</v>
      </c>
      <c r="E100" s="3" t="str">
        <f t="shared" si="6"/>
        <v>Mar</v>
      </c>
      <c r="F100" s="3" t="str">
        <f t="shared" si="7"/>
        <v>2025</v>
      </c>
      <c r="G100" s="4">
        <f t="shared" si="8"/>
        <v>3</v>
      </c>
      <c r="H100" s="3" t="str">
        <f t="shared" si="9"/>
        <v>Q-1</v>
      </c>
      <c r="I100" t="s">
        <v>11</v>
      </c>
      <c r="J100" t="s">
        <v>89</v>
      </c>
      <c r="K100">
        <v>30</v>
      </c>
      <c r="L100" s="5">
        <v>850000</v>
      </c>
      <c r="M100">
        <v>95</v>
      </c>
      <c r="N100" t="s">
        <v>504</v>
      </c>
      <c r="O100" t="s">
        <v>14</v>
      </c>
      <c r="P100" t="s">
        <v>74</v>
      </c>
      <c r="Q100" s="5">
        <f>Table1[[#This Row],[Quantity]]*Table1[[#This Row],[Unit_Price]]</f>
        <v>25500000</v>
      </c>
      <c r="R100" t="str">
        <f>IF(Table1[[#This Row],[Delivery_Days]]&lt;=3,"Fast",IF(Table1[[#This Row],[Delivery_Days]]&lt;=7,"Normal","Late"))</f>
        <v>Late</v>
      </c>
    </row>
    <row r="101" spans="1:18" x14ac:dyDescent="0.35">
      <c r="A101" t="s">
        <v>165</v>
      </c>
      <c r="B101" t="str">
        <f t="shared" si="5"/>
        <v>APX1325</v>
      </c>
      <c r="C101" s="3" t="s">
        <v>166</v>
      </c>
      <c r="D101" s="3">
        <f>IF(ISNUMBER(C101), C101, DATE(RIGHT(C101, 4), MATCH(LEFT(C101, 3), {"Jan","Feb","Mar","Apr","May","Jun","Jul","Aug","Sep","Oct","Nov","Dec"}, 0), MID(C101, 5, 2)))</f>
        <v>45847</v>
      </c>
      <c r="E101" s="3" t="str">
        <f t="shared" si="6"/>
        <v>Jul</v>
      </c>
      <c r="F101" s="3" t="str">
        <f t="shared" si="7"/>
        <v>2025</v>
      </c>
      <c r="G101" s="4">
        <f t="shared" si="8"/>
        <v>7</v>
      </c>
      <c r="H101" s="3" t="str">
        <f t="shared" si="9"/>
        <v>Q-3</v>
      </c>
      <c r="I101" t="s">
        <v>17</v>
      </c>
      <c r="J101" t="s">
        <v>28</v>
      </c>
      <c r="K101">
        <v>160</v>
      </c>
      <c r="L101" s="5">
        <v>850000</v>
      </c>
      <c r="M101">
        <v>3</v>
      </c>
      <c r="N101" t="s">
        <v>70</v>
      </c>
      <c r="O101" t="s">
        <v>14</v>
      </c>
      <c r="P101" t="s">
        <v>25</v>
      </c>
      <c r="Q101" s="5">
        <f>Table1[[#This Row],[Quantity]]*Table1[[#This Row],[Unit_Price]]</f>
        <v>136000000</v>
      </c>
      <c r="R101" t="str">
        <f>IF(Table1[[#This Row],[Delivery_Days]]&lt;=3,"Fast",IF(Table1[[#This Row],[Delivery_Days]]&lt;=7,"Normal","Late"))</f>
        <v>Fast</v>
      </c>
    </row>
    <row r="102" spans="1:18" x14ac:dyDescent="0.35">
      <c r="A102">
        <v>1059</v>
      </c>
      <c r="B102" t="str">
        <f t="shared" si="5"/>
        <v>APX1059</v>
      </c>
      <c r="C102" s="3">
        <v>45710</v>
      </c>
      <c r="D102" s="3">
        <f>IF(ISNUMBER(C102), C102, DATE(RIGHT(C102, 4), MATCH(LEFT(C102, 3), {"Jan","Feb","Mar","Apr","May","Jun","Jul","Aug","Sep","Oct","Nov","Dec"}, 0), MID(C102, 5, 2)))</f>
        <v>45710</v>
      </c>
      <c r="E102" s="3" t="str">
        <f t="shared" si="6"/>
        <v>Feb</v>
      </c>
      <c r="F102" s="3" t="str">
        <f t="shared" si="7"/>
        <v>2025</v>
      </c>
      <c r="G102" s="4">
        <f t="shared" si="8"/>
        <v>2</v>
      </c>
      <c r="H102" s="3" t="str">
        <f t="shared" si="9"/>
        <v>Q-1</v>
      </c>
      <c r="I102" t="s">
        <v>76</v>
      </c>
      <c r="J102" t="s">
        <v>39</v>
      </c>
      <c r="K102">
        <v>12</v>
      </c>
      <c r="L102" s="5">
        <v>800</v>
      </c>
      <c r="M102">
        <v>1</v>
      </c>
      <c r="N102" t="s">
        <v>70</v>
      </c>
      <c r="O102" t="s">
        <v>506</v>
      </c>
      <c r="P102" t="s">
        <v>25</v>
      </c>
      <c r="Q102" s="5">
        <f>Table1[[#This Row],[Quantity]]*Table1[[#This Row],[Unit_Price]]</f>
        <v>9600</v>
      </c>
      <c r="R102" t="str">
        <f>IF(Table1[[#This Row],[Delivery_Days]]&lt;=3,"Fast",IF(Table1[[#This Row],[Delivery_Days]]&lt;=7,"Normal","Late"))</f>
        <v>Fast</v>
      </c>
    </row>
    <row r="103" spans="1:18" x14ac:dyDescent="0.35">
      <c r="A103" t="s">
        <v>167</v>
      </c>
      <c r="B103" t="str">
        <f t="shared" si="5"/>
        <v>APX1081</v>
      </c>
      <c r="C103" s="3">
        <v>45759</v>
      </c>
      <c r="D103" s="3">
        <f>IF(ISNUMBER(C103), C103, DATE(RIGHT(C103, 4), MATCH(LEFT(C103, 3), {"Jan","Feb","Mar","Apr","May","Jun","Jul","Aug","Sep","Oct","Nov","Dec"}, 0), MID(C103, 5, 2)))</f>
        <v>45759</v>
      </c>
      <c r="E103" s="3" t="str">
        <f t="shared" si="6"/>
        <v>Apr</v>
      </c>
      <c r="F103" s="3" t="str">
        <f t="shared" si="7"/>
        <v>2025</v>
      </c>
      <c r="G103" s="4">
        <f t="shared" si="8"/>
        <v>4</v>
      </c>
      <c r="H103" s="3" t="str">
        <f t="shared" si="9"/>
        <v>Q-2</v>
      </c>
      <c r="I103" t="s">
        <v>76</v>
      </c>
      <c r="J103" t="s">
        <v>89</v>
      </c>
      <c r="K103">
        <v>2500</v>
      </c>
      <c r="L103" s="5">
        <v>4500</v>
      </c>
      <c r="M103">
        <v>95</v>
      </c>
      <c r="N103" t="s">
        <v>40</v>
      </c>
      <c r="O103" t="s">
        <v>14</v>
      </c>
      <c r="P103" t="s">
        <v>42</v>
      </c>
      <c r="Q103" s="5">
        <f>Table1[[#This Row],[Quantity]]*Table1[[#This Row],[Unit_Price]]</f>
        <v>11250000</v>
      </c>
      <c r="R103" t="str">
        <f>IF(Table1[[#This Row],[Delivery_Days]]&lt;=3,"Fast",IF(Table1[[#This Row],[Delivery_Days]]&lt;=7,"Normal","Late"))</f>
        <v>Late</v>
      </c>
    </row>
    <row r="104" spans="1:18" x14ac:dyDescent="0.35">
      <c r="A104" t="s">
        <v>168</v>
      </c>
      <c r="B104" t="str">
        <f t="shared" si="5"/>
        <v>APX1348</v>
      </c>
      <c r="C104" s="3">
        <v>45686</v>
      </c>
      <c r="D104" s="3">
        <f>IF(ISNUMBER(C104), C104, DATE(RIGHT(C104, 4), MATCH(LEFT(C104, 3), {"Jan","Feb","Mar","Apr","May","Jun","Jul","Aug","Sep","Oct","Nov","Dec"}, 0), MID(C104, 5, 2)))</f>
        <v>45686</v>
      </c>
      <c r="E104" s="3" t="str">
        <f t="shared" si="6"/>
        <v>Jan</v>
      </c>
      <c r="F104" s="3" t="str">
        <f t="shared" si="7"/>
        <v>2025</v>
      </c>
      <c r="G104" s="4">
        <f t="shared" si="8"/>
        <v>1</v>
      </c>
      <c r="H104" s="3" t="str">
        <f t="shared" si="9"/>
        <v>Q-1</v>
      </c>
      <c r="I104" t="s">
        <v>11</v>
      </c>
      <c r="J104" t="s">
        <v>32</v>
      </c>
      <c r="K104">
        <v>198</v>
      </c>
      <c r="L104" s="5">
        <v>42794</v>
      </c>
      <c r="M104">
        <v>1</v>
      </c>
      <c r="N104" t="s">
        <v>40</v>
      </c>
      <c r="O104" t="s">
        <v>14</v>
      </c>
      <c r="P104" t="s">
        <v>25</v>
      </c>
      <c r="Q104" s="5">
        <f>Table1[[#This Row],[Quantity]]*Table1[[#This Row],[Unit_Price]]</f>
        <v>8473212</v>
      </c>
      <c r="R104" t="str">
        <f>IF(Table1[[#This Row],[Delivery_Days]]&lt;=3,"Fast",IF(Table1[[#This Row],[Delivery_Days]]&lt;=7,"Normal","Late"))</f>
        <v>Fast</v>
      </c>
    </row>
    <row r="105" spans="1:18" x14ac:dyDescent="0.35">
      <c r="A105" t="s">
        <v>170</v>
      </c>
      <c r="B105" t="str">
        <f t="shared" si="5"/>
        <v>APX1140</v>
      </c>
      <c r="C105" s="3" t="s">
        <v>171</v>
      </c>
      <c r="D105" s="3">
        <f>IF(ISNUMBER(C105), C105, DATE(RIGHT(C105, 4), MATCH(LEFT(C105, 3), {"Jan","Feb","Mar","Apr","May","Jun","Jul","Aug","Sep","Oct","Nov","Dec"}, 0), MID(C105, 5, 2)))</f>
        <v>45829</v>
      </c>
      <c r="E105" s="3" t="str">
        <f t="shared" si="6"/>
        <v>Jun</v>
      </c>
      <c r="F105" s="3" t="str">
        <f t="shared" si="7"/>
        <v>2025</v>
      </c>
      <c r="G105" s="4">
        <f t="shared" si="8"/>
        <v>6</v>
      </c>
      <c r="H105" s="3" t="str">
        <f t="shared" si="9"/>
        <v>Q-2</v>
      </c>
      <c r="I105" t="s">
        <v>502</v>
      </c>
      <c r="J105" t="s">
        <v>64</v>
      </c>
      <c r="K105">
        <v>30</v>
      </c>
      <c r="L105" s="5">
        <v>39357</v>
      </c>
      <c r="M105">
        <v>7</v>
      </c>
      <c r="N105" t="s">
        <v>70</v>
      </c>
      <c r="O105" t="s">
        <v>14</v>
      </c>
      <c r="P105" t="s">
        <v>74</v>
      </c>
      <c r="Q105" s="5">
        <f>Table1[[#This Row],[Quantity]]*Table1[[#This Row],[Unit_Price]]</f>
        <v>1180710</v>
      </c>
      <c r="R105" t="str">
        <f>IF(Table1[[#This Row],[Delivery_Days]]&lt;=3,"Fast",IF(Table1[[#This Row],[Delivery_Days]]&lt;=7,"Normal","Late"))</f>
        <v>Normal</v>
      </c>
    </row>
    <row r="106" spans="1:18" x14ac:dyDescent="0.35">
      <c r="A106" t="s">
        <v>172</v>
      </c>
      <c r="B106" t="str">
        <f t="shared" si="5"/>
        <v>APX1013</v>
      </c>
      <c r="C106" s="3">
        <v>45871</v>
      </c>
      <c r="D106" s="3">
        <f>IF(ISNUMBER(C106), C106, DATE(RIGHT(C106, 4), MATCH(LEFT(C106, 3), {"Jan","Feb","Mar","Apr","May","Jun","Jul","Aug","Sep","Oct","Nov","Dec"}, 0), MID(C106, 5, 2)))</f>
        <v>45871</v>
      </c>
      <c r="E106" s="3" t="str">
        <f t="shared" si="6"/>
        <v>Aug</v>
      </c>
      <c r="F106" s="3" t="str">
        <f t="shared" si="7"/>
        <v>2025</v>
      </c>
      <c r="G106" s="4">
        <f t="shared" si="8"/>
        <v>8</v>
      </c>
      <c r="H106" s="3" t="str">
        <f t="shared" si="9"/>
        <v>Q-3</v>
      </c>
      <c r="I106" t="s">
        <v>503</v>
      </c>
      <c r="J106" t="s">
        <v>32</v>
      </c>
      <c r="K106">
        <v>12</v>
      </c>
      <c r="L106" s="5">
        <v>47281</v>
      </c>
      <c r="M106">
        <v>95</v>
      </c>
      <c r="N106" t="s">
        <v>40</v>
      </c>
      <c r="O106" t="s">
        <v>46</v>
      </c>
      <c r="P106" t="s">
        <v>15</v>
      </c>
      <c r="Q106" s="5">
        <f>Table1[[#This Row],[Quantity]]*Table1[[#This Row],[Unit_Price]]</f>
        <v>567372</v>
      </c>
      <c r="R106" t="str">
        <f>IF(Table1[[#This Row],[Delivery_Days]]&lt;=3,"Fast",IF(Table1[[#This Row],[Delivery_Days]]&lt;=7,"Normal","Late"))</f>
        <v>Late</v>
      </c>
    </row>
    <row r="107" spans="1:18" x14ac:dyDescent="0.35">
      <c r="A107" t="s">
        <v>173</v>
      </c>
      <c r="B107" t="str">
        <f t="shared" si="5"/>
        <v>APX1418</v>
      </c>
      <c r="C107" s="3" t="s">
        <v>174</v>
      </c>
      <c r="D107" s="3">
        <f>IF(ISNUMBER(C107), C107, DATE(RIGHT(C107, 4), MATCH(LEFT(C107, 3), {"Jan","Feb","Mar","Apr","May","Jun","Jul","Aug","Sep","Oct","Nov","Dec"}, 0), MID(C107, 5, 2)))</f>
        <v>45872</v>
      </c>
      <c r="E107" s="3" t="str">
        <f t="shared" si="6"/>
        <v>Aug</v>
      </c>
      <c r="F107" s="3" t="str">
        <f t="shared" si="7"/>
        <v>2025</v>
      </c>
      <c r="G107" s="4">
        <f t="shared" si="8"/>
        <v>8</v>
      </c>
      <c r="H107" s="3" t="str">
        <f t="shared" si="9"/>
        <v>Q-3</v>
      </c>
      <c r="I107" t="s">
        <v>76</v>
      </c>
      <c r="J107" t="s">
        <v>28</v>
      </c>
      <c r="K107">
        <v>12</v>
      </c>
      <c r="L107" s="5">
        <v>850000</v>
      </c>
      <c r="M107">
        <v>3</v>
      </c>
      <c r="N107" t="s">
        <v>40</v>
      </c>
      <c r="O107" t="s">
        <v>14</v>
      </c>
      <c r="P107" t="s">
        <v>25</v>
      </c>
      <c r="Q107" s="5">
        <f>Table1[[#This Row],[Quantity]]*Table1[[#This Row],[Unit_Price]]</f>
        <v>10200000</v>
      </c>
      <c r="R107" t="str">
        <f>IF(Table1[[#This Row],[Delivery_Days]]&lt;=3,"Fast",IF(Table1[[#This Row],[Delivery_Days]]&lt;=7,"Normal","Late"))</f>
        <v>Fast</v>
      </c>
    </row>
    <row r="108" spans="1:18" x14ac:dyDescent="0.35">
      <c r="A108" t="s">
        <v>175</v>
      </c>
      <c r="B108" t="str">
        <f t="shared" si="5"/>
        <v>APX1028</v>
      </c>
      <c r="C108" s="3">
        <v>45729</v>
      </c>
      <c r="D108" s="3">
        <f>IF(ISNUMBER(C108), C108, DATE(RIGHT(C108, 4), MATCH(LEFT(C108, 3), {"Jan","Feb","Mar","Apr","May","Jun","Jul","Aug","Sep","Oct","Nov","Dec"}, 0), MID(C108, 5, 2)))</f>
        <v>45729</v>
      </c>
      <c r="E108" s="3" t="str">
        <f t="shared" si="6"/>
        <v>Mar</v>
      </c>
      <c r="F108" s="3" t="str">
        <f t="shared" si="7"/>
        <v>2025</v>
      </c>
      <c r="G108" s="4">
        <f t="shared" si="8"/>
        <v>3</v>
      </c>
      <c r="H108" s="3" t="str">
        <f t="shared" si="9"/>
        <v>Q-1</v>
      </c>
      <c r="I108" t="s">
        <v>76</v>
      </c>
      <c r="J108" t="s">
        <v>28</v>
      </c>
      <c r="K108">
        <v>30</v>
      </c>
      <c r="L108" s="5">
        <v>850000</v>
      </c>
      <c r="M108">
        <v>3</v>
      </c>
      <c r="N108" t="s">
        <v>70</v>
      </c>
      <c r="O108" t="s">
        <v>14</v>
      </c>
      <c r="P108" t="s">
        <v>25</v>
      </c>
      <c r="Q108" s="5">
        <f>Table1[[#This Row],[Quantity]]*Table1[[#This Row],[Unit_Price]]</f>
        <v>25500000</v>
      </c>
      <c r="R108" t="str">
        <f>IF(Table1[[#This Row],[Delivery_Days]]&lt;=3,"Fast",IF(Table1[[#This Row],[Delivery_Days]]&lt;=7,"Normal","Late"))</f>
        <v>Fast</v>
      </c>
    </row>
    <row r="109" spans="1:18" x14ac:dyDescent="0.35">
      <c r="A109" t="s">
        <v>176</v>
      </c>
      <c r="B109" t="str">
        <f t="shared" si="5"/>
        <v>APX1150</v>
      </c>
      <c r="C109" s="3">
        <v>45722</v>
      </c>
      <c r="D109" s="3">
        <f>IF(ISNUMBER(C109), C109, DATE(RIGHT(C109, 4), MATCH(LEFT(C109, 3), {"Jan","Feb","Mar","Apr","May","Jun","Jul","Aug","Sep","Oct","Nov","Dec"}, 0), MID(C109, 5, 2)))</f>
        <v>45722</v>
      </c>
      <c r="E109" s="3" t="str">
        <f t="shared" si="6"/>
        <v>Mar</v>
      </c>
      <c r="F109" s="3" t="str">
        <f t="shared" si="7"/>
        <v>2025</v>
      </c>
      <c r="G109" s="4">
        <f t="shared" si="8"/>
        <v>3</v>
      </c>
      <c r="H109" s="3" t="str">
        <f t="shared" si="9"/>
        <v>Q-1</v>
      </c>
      <c r="I109" t="s">
        <v>17</v>
      </c>
      <c r="J109" t="s">
        <v>89</v>
      </c>
      <c r="K109">
        <v>160</v>
      </c>
      <c r="L109" s="5">
        <v>4500</v>
      </c>
      <c r="M109">
        <v>3</v>
      </c>
      <c r="N109" t="s">
        <v>505</v>
      </c>
      <c r="O109" t="s">
        <v>46</v>
      </c>
      <c r="P109" t="s">
        <v>25</v>
      </c>
      <c r="Q109" s="5">
        <f>Table1[[#This Row],[Quantity]]*Table1[[#This Row],[Unit_Price]]</f>
        <v>720000</v>
      </c>
      <c r="R109" t="str">
        <f>IF(Table1[[#This Row],[Delivery_Days]]&lt;=3,"Fast",IF(Table1[[#This Row],[Delivery_Days]]&lt;=7,"Normal","Late"))</f>
        <v>Fast</v>
      </c>
    </row>
    <row r="110" spans="1:18" x14ac:dyDescent="0.35">
      <c r="A110" t="s">
        <v>177</v>
      </c>
      <c r="B110" t="str">
        <f t="shared" si="5"/>
        <v>APX1102</v>
      </c>
      <c r="C110" s="3">
        <v>45800</v>
      </c>
      <c r="D110" s="3">
        <f>IF(ISNUMBER(C110), C110, DATE(RIGHT(C110, 4), MATCH(LEFT(C110, 3), {"Jan","Feb","Mar","Apr","May","Jun","Jul","Aug","Sep","Oct","Nov","Dec"}, 0), MID(C110, 5, 2)))</f>
        <v>45800</v>
      </c>
      <c r="E110" s="3" t="str">
        <f t="shared" si="6"/>
        <v>May</v>
      </c>
      <c r="F110" s="3" t="str">
        <f t="shared" si="7"/>
        <v>2025</v>
      </c>
      <c r="G110" s="4">
        <f t="shared" si="8"/>
        <v>5</v>
      </c>
      <c r="H110" s="3" t="str">
        <f t="shared" si="9"/>
        <v>Q-2</v>
      </c>
      <c r="I110" t="s">
        <v>17</v>
      </c>
      <c r="J110" t="s">
        <v>32</v>
      </c>
      <c r="K110">
        <v>2500</v>
      </c>
      <c r="L110" s="5">
        <v>40605</v>
      </c>
      <c r="M110">
        <v>3</v>
      </c>
      <c r="N110" t="s">
        <v>70</v>
      </c>
      <c r="O110" t="s">
        <v>506</v>
      </c>
      <c r="P110" t="s">
        <v>25</v>
      </c>
      <c r="Q110" s="5">
        <f>Table1[[#This Row],[Quantity]]*Table1[[#This Row],[Unit_Price]]</f>
        <v>101512500</v>
      </c>
      <c r="R110" t="str">
        <f>IF(Table1[[#This Row],[Delivery_Days]]&lt;=3,"Fast",IF(Table1[[#This Row],[Delivery_Days]]&lt;=7,"Normal","Late"))</f>
        <v>Fast</v>
      </c>
    </row>
    <row r="111" spans="1:18" x14ac:dyDescent="0.35">
      <c r="A111" t="s">
        <v>178</v>
      </c>
      <c r="B111" t="str">
        <f t="shared" si="5"/>
        <v>APX1403</v>
      </c>
      <c r="C111" s="3" t="s">
        <v>179</v>
      </c>
      <c r="D111" s="3">
        <f>IF(ISNUMBER(C111), C111, DATE(RIGHT(C111, 4), MATCH(LEFT(C111, 3), {"Jan","Feb","Mar","Apr","May","Jun","Jul","Aug","Sep","Oct","Nov","Dec"}, 0), MID(C111, 5, 2)))</f>
        <v>45764</v>
      </c>
      <c r="E111" s="3" t="str">
        <f t="shared" si="6"/>
        <v>Apr</v>
      </c>
      <c r="F111" s="3" t="str">
        <f t="shared" si="7"/>
        <v>2025</v>
      </c>
      <c r="G111" s="4">
        <f t="shared" si="8"/>
        <v>4</v>
      </c>
      <c r="H111" s="3" t="str">
        <f t="shared" si="9"/>
        <v>Q-2</v>
      </c>
      <c r="I111" t="s">
        <v>76</v>
      </c>
      <c r="J111" t="s">
        <v>32</v>
      </c>
      <c r="K111">
        <v>161</v>
      </c>
      <c r="L111" s="5">
        <v>21985</v>
      </c>
      <c r="M111">
        <v>95</v>
      </c>
      <c r="N111" t="s">
        <v>504</v>
      </c>
      <c r="O111" t="s">
        <v>506</v>
      </c>
      <c r="P111" t="s">
        <v>15</v>
      </c>
      <c r="Q111" s="5">
        <f>Table1[[#This Row],[Quantity]]*Table1[[#This Row],[Unit_Price]]</f>
        <v>3539585</v>
      </c>
      <c r="R111" t="str">
        <f>IF(Table1[[#This Row],[Delivery_Days]]&lt;=3,"Fast",IF(Table1[[#This Row],[Delivery_Days]]&lt;=7,"Normal","Late"))</f>
        <v>Late</v>
      </c>
    </row>
    <row r="112" spans="1:18" x14ac:dyDescent="0.35">
      <c r="A112" t="s">
        <v>180</v>
      </c>
      <c r="B112" t="str">
        <f t="shared" si="5"/>
        <v>APX1408</v>
      </c>
      <c r="C112" s="3" t="s">
        <v>116</v>
      </c>
      <c r="D112" s="3">
        <f>IF(ISNUMBER(C112), C112, DATE(RIGHT(C112, 4), MATCH(LEFT(C112, 3), {"Jan","Feb","Mar","Apr","May","Jun","Jul","Aug","Sep","Oct","Nov","Dec"}, 0), MID(C112, 5, 2)))</f>
        <v>45673</v>
      </c>
      <c r="E112" s="3" t="str">
        <f t="shared" si="6"/>
        <v>Jan</v>
      </c>
      <c r="F112" s="3" t="str">
        <f t="shared" si="7"/>
        <v>2025</v>
      </c>
      <c r="G112" s="4">
        <f t="shared" si="8"/>
        <v>1</v>
      </c>
      <c r="H112" s="3" t="str">
        <f t="shared" si="9"/>
        <v>Q-1</v>
      </c>
      <c r="I112" t="s">
        <v>11</v>
      </c>
      <c r="J112" t="s">
        <v>89</v>
      </c>
      <c r="K112">
        <v>12</v>
      </c>
      <c r="L112" s="5">
        <v>4500</v>
      </c>
      <c r="M112">
        <v>3</v>
      </c>
      <c r="N112" t="s">
        <v>40</v>
      </c>
      <c r="O112" t="s">
        <v>506</v>
      </c>
      <c r="P112" t="s">
        <v>25</v>
      </c>
      <c r="Q112" s="5">
        <f>Table1[[#This Row],[Quantity]]*Table1[[#This Row],[Unit_Price]]</f>
        <v>54000</v>
      </c>
      <c r="R112" t="str">
        <f>IF(Table1[[#This Row],[Delivery_Days]]&lt;=3,"Fast",IF(Table1[[#This Row],[Delivery_Days]]&lt;=7,"Normal","Late"))</f>
        <v>Fast</v>
      </c>
    </row>
    <row r="113" spans="1:18" x14ac:dyDescent="0.35">
      <c r="A113" t="s">
        <v>161</v>
      </c>
      <c r="B113" t="str">
        <f t="shared" si="5"/>
        <v>APX1084</v>
      </c>
      <c r="C113" s="3">
        <v>45711</v>
      </c>
      <c r="D113" s="3">
        <f>IF(ISNUMBER(C113), C113, DATE(RIGHT(C113, 4), MATCH(LEFT(C113, 3), {"Jan","Feb","Mar","Apr","May","Jun","Jul","Aug","Sep","Oct","Nov","Dec"}, 0), MID(C113, 5, 2)))</f>
        <v>45711</v>
      </c>
      <c r="E113" s="3" t="str">
        <f t="shared" si="6"/>
        <v>Feb</v>
      </c>
      <c r="F113" s="3" t="str">
        <f t="shared" si="7"/>
        <v>2025</v>
      </c>
      <c r="G113" s="4">
        <f t="shared" si="8"/>
        <v>2</v>
      </c>
      <c r="H113" s="3" t="str">
        <f t="shared" si="9"/>
        <v>Q-1</v>
      </c>
      <c r="I113" t="s">
        <v>76</v>
      </c>
      <c r="J113" t="s">
        <v>89</v>
      </c>
      <c r="K113">
        <v>12</v>
      </c>
      <c r="L113" s="5">
        <v>39781</v>
      </c>
      <c r="M113">
        <v>10</v>
      </c>
      <c r="N113" t="s">
        <v>70</v>
      </c>
      <c r="O113" t="s">
        <v>506</v>
      </c>
      <c r="P113" t="s">
        <v>42</v>
      </c>
      <c r="Q113" s="5">
        <f>Table1[[#This Row],[Quantity]]*Table1[[#This Row],[Unit_Price]]</f>
        <v>477372</v>
      </c>
      <c r="R113" t="str">
        <f>IF(Table1[[#This Row],[Delivery_Days]]&lt;=3,"Fast",IF(Table1[[#This Row],[Delivery_Days]]&lt;=7,"Normal","Late"))</f>
        <v>Late</v>
      </c>
    </row>
    <row r="114" spans="1:18" x14ac:dyDescent="0.35">
      <c r="A114" t="s">
        <v>181</v>
      </c>
      <c r="B114" t="str">
        <f t="shared" si="5"/>
        <v>APX1382</v>
      </c>
      <c r="C114" s="3">
        <v>45691</v>
      </c>
      <c r="D114" s="3">
        <f>IF(ISNUMBER(C114), C114, DATE(RIGHT(C114, 4), MATCH(LEFT(C114, 3), {"Jan","Feb","Mar","Apr","May","Jun","Jul","Aug","Sep","Oct","Nov","Dec"}, 0), MID(C114, 5, 2)))</f>
        <v>45691</v>
      </c>
      <c r="E114" s="3" t="str">
        <f t="shared" si="6"/>
        <v>Feb</v>
      </c>
      <c r="F114" s="3" t="str">
        <f t="shared" si="7"/>
        <v>2025</v>
      </c>
      <c r="G114" s="4">
        <f t="shared" si="8"/>
        <v>2</v>
      </c>
      <c r="H114" s="3" t="str">
        <f t="shared" si="9"/>
        <v>Q-1</v>
      </c>
      <c r="I114" t="s">
        <v>11</v>
      </c>
      <c r="J114" t="s">
        <v>32</v>
      </c>
      <c r="K114">
        <v>2500</v>
      </c>
      <c r="L114" s="5">
        <v>850000</v>
      </c>
      <c r="M114">
        <v>3</v>
      </c>
      <c r="N114" t="s">
        <v>504</v>
      </c>
      <c r="O114" t="s">
        <v>506</v>
      </c>
      <c r="P114" t="s">
        <v>25</v>
      </c>
      <c r="Q114" s="5">
        <f>Table1[[#This Row],[Quantity]]*Table1[[#This Row],[Unit_Price]]</f>
        <v>2125000000</v>
      </c>
      <c r="R114" t="str">
        <f>IF(Table1[[#This Row],[Delivery_Days]]&lt;=3,"Fast",IF(Table1[[#This Row],[Delivery_Days]]&lt;=7,"Normal","Late"))</f>
        <v>Fast</v>
      </c>
    </row>
    <row r="115" spans="1:18" x14ac:dyDescent="0.35">
      <c r="A115">
        <v>1168</v>
      </c>
      <c r="B115" t="str">
        <f t="shared" si="5"/>
        <v>APX1168</v>
      </c>
      <c r="C115" s="3" t="s">
        <v>182</v>
      </c>
      <c r="D115" s="3">
        <f>IF(ISNUMBER(C115), C115, DATE(RIGHT(C115, 4), MATCH(LEFT(C115, 3), {"Jan","Feb","Mar","Apr","May","Jun","Jul","Aug","Sep","Oct","Nov","Dec"}, 0), MID(C115, 5, 2)))</f>
        <v>45916</v>
      </c>
      <c r="E115" s="3" t="str">
        <f t="shared" si="6"/>
        <v>Sep</v>
      </c>
      <c r="F115" s="3" t="str">
        <f t="shared" si="7"/>
        <v>2025</v>
      </c>
      <c r="G115" s="4">
        <f t="shared" si="8"/>
        <v>9</v>
      </c>
      <c r="H115" s="3" t="str">
        <f t="shared" si="9"/>
        <v>Q-4</v>
      </c>
      <c r="I115" t="s">
        <v>503</v>
      </c>
      <c r="J115" t="s">
        <v>73</v>
      </c>
      <c r="K115">
        <v>30</v>
      </c>
      <c r="L115" s="5">
        <v>6500</v>
      </c>
      <c r="M115">
        <v>4</v>
      </c>
      <c r="N115" t="s">
        <v>70</v>
      </c>
      <c r="O115" t="s">
        <v>506</v>
      </c>
      <c r="P115" t="s">
        <v>25</v>
      </c>
      <c r="Q115" s="5">
        <f>Table1[[#This Row],[Quantity]]*Table1[[#This Row],[Unit_Price]]</f>
        <v>195000</v>
      </c>
      <c r="R115" t="str">
        <f>IF(Table1[[#This Row],[Delivery_Days]]&lt;=3,"Fast",IF(Table1[[#This Row],[Delivery_Days]]&lt;=7,"Normal","Late"))</f>
        <v>Normal</v>
      </c>
    </row>
    <row r="116" spans="1:18" x14ac:dyDescent="0.35">
      <c r="A116">
        <v>1207</v>
      </c>
      <c r="B116" t="str">
        <f t="shared" si="5"/>
        <v>APX1207</v>
      </c>
      <c r="C116" s="3" t="s">
        <v>108</v>
      </c>
      <c r="D116" s="3">
        <f>IF(ISNUMBER(C116), C116, DATE(RIGHT(C116, 4), MATCH(LEFT(C116, 3), {"Jan","Feb","Mar","Apr","May","Jun","Jul","Aug","Sep","Oct","Nov","Dec"}, 0), MID(C116, 5, 2)))</f>
        <v>45672</v>
      </c>
      <c r="E116" s="3" t="str">
        <f t="shared" si="6"/>
        <v>Jan</v>
      </c>
      <c r="F116" s="3" t="str">
        <f t="shared" si="7"/>
        <v>2025</v>
      </c>
      <c r="G116" s="4">
        <f t="shared" si="8"/>
        <v>1</v>
      </c>
      <c r="H116" s="3" t="str">
        <f t="shared" si="9"/>
        <v>Q-1</v>
      </c>
      <c r="I116" t="s">
        <v>11</v>
      </c>
      <c r="J116" t="s">
        <v>32</v>
      </c>
      <c r="K116">
        <v>2500</v>
      </c>
      <c r="L116" s="5">
        <v>4500</v>
      </c>
      <c r="M116">
        <v>95</v>
      </c>
      <c r="N116" t="s">
        <v>70</v>
      </c>
      <c r="O116" t="s">
        <v>506</v>
      </c>
      <c r="P116" t="s">
        <v>15</v>
      </c>
      <c r="Q116" s="5">
        <f>Table1[[#This Row],[Quantity]]*Table1[[#This Row],[Unit_Price]]</f>
        <v>11250000</v>
      </c>
      <c r="R116" t="str">
        <f>IF(Table1[[#This Row],[Delivery_Days]]&lt;=3,"Fast",IF(Table1[[#This Row],[Delivery_Days]]&lt;=7,"Normal","Late"))</f>
        <v>Late</v>
      </c>
    </row>
    <row r="117" spans="1:18" x14ac:dyDescent="0.35">
      <c r="A117" t="s">
        <v>68</v>
      </c>
      <c r="B117" t="str">
        <f t="shared" si="5"/>
        <v>APX1279</v>
      </c>
      <c r="C117" s="3" t="s">
        <v>183</v>
      </c>
      <c r="D117" s="3">
        <f>IF(ISNUMBER(C117), C117, DATE(RIGHT(C117, 4), MATCH(LEFT(C117, 3), {"Jan","Feb","Mar","Apr","May","Jun","Jul","Aug","Sep","Oct","Nov","Dec"}, 0), MID(C117, 5, 2)))</f>
        <v>45907</v>
      </c>
      <c r="E117" s="3" t="str">
        <f t="shared" si="6"/>
        <v>Sep</v>
      </c>
      <c r="F117" s="3" t="str">
        <f t="shared" si="7"/>
        <v>2025</v>
      </c>
      <c r="G117" s="4">
        <f t="shared" si="8"/>
        <v>9</v>
      </c>
      <c r="H117" s="3" t="str">
        <f t="shared" si="9"/>
        <v>Q-4</v>
      </c>
      <c r="I117" t="s">
        <v>510</v>
      </c>
      <c r="J117" t="s">
        <v>32</v>
      </c>
      <c r="K117">
        <v>12</v>
      </c>
      <c r="L117" s="5">
        <v>1702</v>
      </c>
      <c r="M117">
        <v>95</v>
      </c>
      <c r="N117" t="s">
        <v>504</v>
      </c>
      <c r="O117" t="s">
        <v>506</v>
      </c>
      <c r="P117" t="s">
        <v>74</v>
      </c>
      <c r="Q117" s="5">
        <f>Table1[[#This Row],[Quantity]]*Table1[[#This Row],[Unit_Price]]</f>
        <v>20424</v>
      </c>
      <c r="R117" t="str">
        <f>IF(Table1[[#This Row],[Delivery_Days]]&lt;=3,"Fast",IF(Table1[[#This Row],[Delivery_Days]]&lt;=7,"Normal","Late"))</f>
        <v>Late</v>
      </c>
    </row>
    <row r="118" spans="1:18" x14ac:dyDescent="0.35">
      <c r="A118" t="s">
        <v>184</v>
      </c>
      <c r="B118" t="str">
        <f t="shared" si="5"/>
        <v>APX1385</v>
      </c>
      <c r="C118" s="3">
        <v>45998</v>
      </c>
      <c r="D118" s="3">
        <f>IF(ISNUMBER(C118), C118, DATE(RIGHT(C118, 4), MATCH(LEFT(C118, 3), {"Jan","Feb","Mar","Apr","May","Jun","Jul","Aug","Sep","Oct","Nov","Dec"}, 0), MID(C118, 5, 2)))</f>
        <v>45998</v>
      </c>
      <c r="E118" s="3" t="str">
        <f t="shared" si="6"/>
        <v>Dec</v>
      </c>
      <c r="F118" s="3" t="str">
        <f t="shared" si="7"/>
        <v>2025</v>
      </c>
      <c r="G118" s="4">
        <f t="shared" si="8"/>
        <v>12</v>
      </c>
      <c r="H118" s="3" t="str">
        <f t="shared" si="9"/>
        <v>Q-4</v>
      </c>
      <c r="I118" t="s">
        <v>502</v>
      </c>
      <c r="J118" t="s">
        <v>64</v>
      </c>
      <c r="K118">
        <v>30</v>
      </c>
      <c r="L118" s="5">
        <v>800</v>
      </c>
      <c r="M118">
        <v>5</v>
      </c>
      <c r="N118" t="s">
        <v>504</v>
      </c>
      <c r="O118" t="s">
        <v>506</v>
      </c>
      <c r="P118" t="s">
        <v>25</v>
      </c>
      <c r="Q118" s="5">
        <f>Table1[[#This Row],[Quantity]]*Table1[[#This Row],[Unit_Price]]</f>
        <v>24000</v>
      </c>
      <c r="R118" t="str">
        <f>IF(Table1[[#This Row],[Delivery_Days]]&lt;=3,"Fast",IF(Table1[[#This Row],[Delivery_Days]]&lt;=7,"Normal","Late"))</f>
        <v>Normal</v>
      </c>
    </row>
    <row r="119" spans="1:18" x14ac:dyDescent="0.35">
      <c r="A119" t="s">
        <v>185</v>
      </c>
      <c r="B119" t="str">
        <f t="shared" si="5"/>
        <v>APX1398</v>
      </c>
      <c r="C119" s="3">
        <v>45945</v>
      </c>
      <c r="D119" s="3">
        <f>IF(ISNUMBER(C119), C119, DATE(RIGHT(C119, 4), MATCH(LEFT(C119, 3), {"Jan","Feb","Mar","Apr","May","Jun","Jul","Aug","Sep","Oct","Nov","Dec"}, 0), MID(C119, 5, 2)))</f>
        <v>45945</v>
      </c>
      <c r="E119" s="3" t="str">
        <f t="shared" si="6"/>
        <v>Oct</v>
      </c>
      <c r="F119" s="3" t="str">
        <f t="shared" si="7"/>
        <v>2025</v>
      </c>
      <c r="G119" s="4">
        <f t="shared" si="8"/>
        <v>10</v>
      </c>
      <c r="H119" s="3" t="str">
        <f t="shared" si="9"/>
        <v>Q-4</v>
      </c>
      <c r="I119" t="s">
        <v>76</v>
      </c>
      <c r="J119" t="s">
        <v>73</v>
      </c>
      <c r="K119">
        <v>2500</v>
      </c>
      <c r="L119" s="5">
        <v>4500</v>
      </c>
      <c r="M119">
        <v>95</v>
      </c>
      <c r="N119" t="s">
        <v>40</v>
      </c>
      <c r="O119" t="s">
        <v>506</v>
      </c>
      <c r="P119" t="s">
        <v>42</v>
      </c>
      <c r="Q119" s="5">
        <f>Table1[[#This Row],[Quantity]]*Table1[[#This Row],[Unit_Price]]</f>
        <v>11250000</v>
      </c>
      <c r="R119" t="str">
        <f>IF(Table1[[#This Row],[Delivery_Days]]&lt;=3,"Fast",IF(Table1[[#This Row],[Delivery_Days]]&lt;=7,"Normal","Late"))</f>
        <v>Late</v>
      </c>
    </row>
    <row r="120" spans="1:18" x14ac:dyDescent="0.35">
      <c r="A120" t="s">
        <v>187</v>
      </c>
      <c r="B120" t="str">
        <f t="shared" si="5"/>
        <v>APX1029</v>
      </c>
      <c r="C120" s="3" t="s">
        <v>188</v>
      </c>
      <c r="D120" s="3">
        <f>IF(ISNUMBER(C120), C120, DATE(RIGHT(C120, 4), MATCH(LEFT(C120, 3), {"Jan","Feb","Mar","Apr","May","Jun","Jul","Aug","Sep","Oct","Nov","Dec"}, 0), MID(C120, 5, 2)))</f>
        <v>45691</v>
      </c>
      <c r="E120" s="3" t="str">
        <f t="shared" si="6"/>
        <v>Feb</v>
      </c>
      <c r="F120" s="3" t="str">
        <f t="shared" si="7"/>
        <v>2025</v>
      </c>
      <c r="G120" s="4">
        <f t="shared" si="8"/>
        <v>2</v>
      </c>
      <c r="H120" s="3" t="str">
        <f t="shared" si="9"/>
        <v>Q-1</v>
      </c>
      <c r="I120" t="s">
        <v>76</v>
      </c>
      <c r="J120" t="s">
        <v>32</v>
      </c>
      <c r="K120">
        <v>2500</v>
      </c>
      <c r="L120" s="5">
        <v>800</v>
      </c>
      <c r="M120">
        <v>3</v>
      </c>
      <c r="N120" t="s">
        <v>70</v>
      </c>
      <c r="O120" t="s">
        <v>14</v>
      </c>
      <c r="P120" t="s">
        <v>25</v>
      </c>
      <c r="Q120" s="5">
        <f>Table1[[#This Row],[Quantity]]*Table1[[#This Row],[Unit_Price]]</f>
        <v>2000000</v>
      </c>
      <c r="R120" t="str">
        <f>IF(Table1[[#This Row],[Delivery_Days]]&lt;=3,"Fast",IF(Table1[[#This Row],[Delivery_Days]]&lt;=7,"Normal","Late"))</f>
        <v>Fast</v>
      </c>
    </row>
    <row r="121" spans="1:18" x14ac:dyDescent="0.35">
      <c r="A121" t="s">
        <v>189</v>
      </c>
      <c r="B121" t="str">
        <f t="shared" si="5"/>
        <v>APX1405</v>
      </c>
      <c r="C121" s="3">
        <v>45993</v>
      </c>
      <c r="D121" s="3">
        <f>IF(ISNUMBER(C121), C121, DATE(RIGHT(C121, 4), MATCH(LEFT(C121, 3), {"Jan","Feb","Mar","Apr","May","Jun","Jul","Aug","Sep","Oct","Nov","Dec"}, 0), MID(C121, 5, 2)))</f>
        <v>45993</v>
      </c>
      <c r="E121" s="3" t="str">
        <f t="shared" si="6"/>
        <v>Dec</v>
      </c>
      <c r="F121" s="3" t="str">
        <f t="shared" si="7"/>
        <v>2025</v>
      </c>
      <c r="G121" s="4">
        <f t="shared" si="8"/>
        <v>12</v>
      </c>
      <c r="H121" s="3" t="str">
        <f t="shared" si="9"/>
        <v>Q-4</v>
      </c>
      <c r="I121" t="s">
        <v>510</v>
      </c>
      <c r="J121" t="s">
        <v>64</v>
      </c>
      <c r="K121">
        <v>12</v>
      </c>
      <c r="L121" s="5">
        <v>850000</v>
      </c>
      <c r="M121">
        <v>3</v>
      </c>
      <c r="N121" t="s">
        <v>40</v>
      </c>
      <c r="O121" t="s">
        <v>14</v>
      </c>
      <c r="P121" t="s">
        <v>25</v>
      </c>
      <c r="Q121" s="5">
        <f>Table1[[#This Row],[Quantity]]*Table1[[#This Row],[Unit_Price]]</f>
        <v>10200000</v>
      </c>
      <c r="R121" t="str">
        <f>IF(Table1[[#This Row],[Delivery_Days]]&lt;=3,"Fast",IF(Table1[[#This Row],[Delivery_Days]]&lt;=7,"Normal","Late"))</f>
        <v>Fast</v>
      </c>
    </row>
    <row r="122" spans="1:18" x14ac:dyDescent="0.35">
      <c r="A122" t="s">
        <v>163</v>
      </c>
      <c r="B122" t="str">
        <f t="shared" si="5"/>
        <v>APX1044</v>
      </c>
      <c r="C122" s="3" t="s">
        <v>190</v>
      </c>
      <c r="D122" s="3">
        <f>IF(ISNUMBER(C122), C122, DATE(RIGHT(C122, 4), MATCH(LEFT(C122, 3), {"Jan","Feb","Mar","Apr","May","Jun","Jul","Aug","Sep","Oct","Nov","Dec"}, 0), MID(C122, 5, 2)))</f>
        <v>45723</v>
      </c>
      <c r="E122" s="3" t="str">
        <f t="shared" si="6"/>
        <v>Mar</v>
      </c>
      <c r="F122" s="3" t="str">
        <f t="shared" si="7"/>
        <v>2025</v>
      </c>
      <c r="G122" s="4">
        <f t="shared" si="8"/>
        <v>3</v>
      </c>
      <c r="H122" s="3" t="str">
        <f t="shared" si="9"/>
        <v>Q-1</v>
      </c>
      <c r="I122" t="s">
        <v>11</v>
      </c>
      <c r="J122" t="s">
        <v>28</v>
      </c>
      <c r="K122">
        <v>12</v>
      </c>
      <c r="L122" s="5">
        <v>850000</v>
      </c>
      <c r="M122">
        <v>95</v>
      </c>
      <c r="N122" t="s">
        <v>70</v>
      </c>
      <c r="O122" t="s">
        <v>14</v>
      </c>
      <c r="P122" t="s">
        <v>25</v>
      </c>
      <c r="Q122" s="5">
        <f>Table1[[#This Row],[Quantity]]*Table1[[#This Row],[Unit_Price]]</f>
        <v>10200000</v>
      </c>
      <c r="R122" t="str">
        <f>IF(Table1[[#This Row],[Delivery_Days]]&lt;=3,"Fast",IF(Table1[[#This Row],[Delivery_Days]]&lt;=7,"Normal","Late"))</f>
        <v>Late</v>
      </c>
    </row>
    <row r="123" spans="1:18" x14ac:dyDescent="0.35">
      <c r="A123" t="s">
        <v>191</v>
      </c>
      <c r="B123" t="str">
        <f t="shared" si="5"/>
        <v>APX1093</v>
      </c>
      <c r="C123" s="3">
        <v>46022</v>
      </c>
      <c r="D123" s="3">
        <f>IF(ISNUMBER(C123), C123, DATE(RIGHT(C123, 4), MATCH(LEFT(C123, 3), {"Jan","Feb","Mar","Apr","May","Jun","Jul","Aug","Sep","Oct","Nov","Dec"}, 0), MID(C123, 5, 2)))</f>
        <v>46022</v>
      </c>
      <c r="E123" s="3" t="str">
        <f t="shared" si="6"/>
        <v>Dec</v>
      </c>
      <c r="F123" s="3" t="str">
        <f t="shared" si="7"/>
        <v>2025</v>
      </c>
      <c r="G123" s="4">
        <f t="shared" si="8"/>
        <v>12</v>
      </c>
      <c r="H123" s="3" t="str">
        <f t="shared" si="9"/>
        <v>Q-4</v>
      </c>
      <c r="I123" t="s">
        <v>503</v>
      </c>
      <c r="J123" t="s">
        <v>32</v>
      </c>
      <c r="K123">
        <v>12</v>
      </c>
      <c r="L123" s="5">
        <v>800</v>
      </c>
      <c r="M123">
        <v>3</v>
      </c>
      <c r="N123" t="s">
        <v>560</v>
      </c>
      <c r="O123" t="s">
        <v>506</v>
      </c>
      <c r="P123" t="s">
        <v>25</v>
      </c>
      <c r="Q123" s="5">
        <f>Table1[[#This Row],[Quantity]]*Table1[[#This Row],[Unit_Price]]</f>
        <v>9600</v>
      </c>
      <c r="R123" t="str">
        <f>IF(Table1[[#This Row],[Delivery_Days]]&lt;=3,"Fast",IF(Table1[[#This Row],[Delivery_Days]]&lt;=7,"Normal","Late"))</f>
        <v>Fast</v>
      </c>
    </row>
    <row r="124" spans="1:18" x14ac:dyDescent="0.35">
      <c r="A124" t="s">
        <v>192</v>
      </c>
      <c r="B124" t="str">
        <f t="shared" si="5"/>
        <v>APX1033</v>
      </c>
      <c r="C124" s="3">
        <v>45778</v>
      </c>
      <c r="D124" s="3">
        <f>IF(ISNUMBER(C124), C124, DATE(RIGHT(C124, 4), MATCH(LEFT(C124, 3), {"Jan","Feb","Mar","Apr","May","Jun","Jul","Aug","Sep","Oct","Nov","Dec"}, 0), MID(C124, 5, 2)))</f>
        <v>45778</v>
      </c>
      <c r="E124" s="3" t="str">
        <f t="shared" si="6"/>
        <v>May</v>
      </c>
      <c r="F124" s="3" t="str">
        <f t="shared" si="7"/>
        <v>2025</v>
      </c>
      <c r="G124" s="4">
        <f t="shared" si="8"/>
        <v>5</v>
      </c>
      <c r="H124" s="3" t="str">
        <f t="shared" si="9"/>
        <v>Q-2</v>
      </c>
      <c r="I124" t="s">
        <v>510</v>
      </c>
      <c r="J124" t="s">
        <v>39</v>
      </c>
      <c r="K124">
        <v>152</v>
      </c>
      <c r="L124" s="5">
        <v>6500</v>
      </c>
      <c r="M124">
        <v>3</v>
      </c>
      <c r="N124" t="s">
        <v>40</v>
      </c>
      <c r="O124" t="s">
        <v>46</v>
      </c>
      <c r="P124" t="s">
        <v>25</v>
      </c>
      <c r="Q124" s="5">
        <f>Table1[[#This Row],[Quantity]]*Table1[[#This Row],[Unit_Price]]</f>
        <v>988000</v>
      </c>
      <c r="R124" t="str">
        <f>IF(Table1[[#This Row],[Delivery_Days]]&lt;=3,"Fast",IF(Table1[[#This Row],[Delivery_Days]]&lt;=7,"Normal","Late"))</f>
        <v>Fast</v>
      </c>
    </row>
    <row r="125" spans="1:18" x14ac:dyDescent="0.35">
      <c r="A125" t="s">
        <v>193</v>
      </c>
      <c r="B125" t="str">
        <f t="shared" si="5"/>
        <v>APX1083</v>
      </c>
      <c r="C125" s="3" t="s">
        <v>194</v>
      </c>
      <c r="D125" s="3">
        <f>IF(ISNUMBER(C125), C125, DATE(RIGHT(C125, 4), MATCH(LEFT(C125, 3), {"Jan","Feb","Mar","Apr","May","Jun","Jul","Aug","Sep","Oct","Nov","Dec"}, 0), MID(C125, 5, 2)))</f>
        <v>45940</v>
      </c>
      <c r="E125" s="3" t="str">
        <f t="shared" si="6"/>
        <v>Oct</v>
      </c>
      <c r="F125" s="3" t="str">
        <f t="shared" si="7"/>
        <v>2025</v>
      </c>
      <c r="G125" s="4">
        <f t="shared" si="8"/>
        <v>10</v>
      </c>
      <c r="H125" s="3" t="str">
        <f t="shared" si="9"/>
        <v>Q-4</v>
      </c>
      <c r="I125" t="s">
        <v>76</v>
      </c>
      <c r="J125" t="s">
        <v>28</v>
      </c>
      <c r="K125">
        <v>12</v>
      </c>
      <c r="L125" s="5">
        <v>4500</v>
      </c>
      <c r="M125">
        <v>95</v>
      </c>
      <c r="N125" t="s">
        <v>40</v>
      </c>
      <c r="O125" t="s">
        <v>506</v>
      </c>
      <c r="P125" t="s">
        <v>42</v>
      </c>
      <c r="Q125" s="5">
        <f>Table1[[#This Row],[Quantity]]*Table1[[#This Row],[Unit_Price]]</f>
        <v>54000</v>
      </c>
      <c r="R125" t="str">
        <f>IF(Table1[[#This Row],[Delivery_Days]]&lt;=3,"Fast",IF(Table1[[#This Row],[Delivery_Days]]&lt;=7,"Normal","Late"))</f>
        <v>Late</v>
      </c>
    </row>
    <row r="126" spans="1:18" x14ac:dyDescent="0.35">
      <c r="A126" t="s">
        <v>195</v>
      </c>
      <c r="B126" t="str">
        <f t="shared" si="5"/>
        <v>APX1241</v>
      </c>
      <c r="C126" s="3">
        <v>45796</v>
      </c>
      <c r="D126" s="3">
        <f>IF(ISNUMBER(C126), C126, DATE(RIGHT(C126, 4), MATCH(LEFT(C126, 3), {"Jan","Feb","Mar","Apr","May","Jun","Jul","Aug","Sep","Oct","Nov","Dec"}, 0), MID(C126, 5, 2)))</f>
        <v>45796</v>
      </c>
      <c r="E126" s="3" t="str">
        <f t="shared" si="6"/>
        <v>May</v>
      </c>
      <c r="F126" s="3" t="str">
        <f t="shared" si="7"/>
        <v>2025</v>
      </c>
      <c r="G126" s="4">
        <f t="shared" si="8"/>
        <v>5</v>
      </c>
      <c r="H126" s="3" t="str">
        <f t="shared" si="9"/>
        <v>Q-2</v>
      </c>
      <c r="I126" t="s">
        <v>503</v>
      </c>
      <c r="J126" t="s">
        <v>32</v>
      </c>
      <c r="K126">
        <v>2500</v>
      </c>
      <c r="L126" s="5">
        <v>800</v>
      </c>
      <c r="M126">
        <v>3</v>
      </c>
      <c r="N126" t="s">
        <v>40</v>
      </c>
      <c r="O126" t="s">
        <v>506</v>
      </c>
      <c r="P126" t="s">
        <v>42</v>
      </c>
      <c r="Q126" s="5">
        <f>Table1[[#This Row],[Quantity]]*Table1[[#This Row],[Unit_Price]]</f>
        <v>2000000</v>
      </c>
      <c r="R126" t="str">
        <f>IF(Table1[[#This Row],[Delivery_Days]]&lt;=3,"Fast",IF(Table1[[#This Row],[Delivery_Days]]&lt;=7,"Normal","Late"))</f>
        <v>Fast</v>
      </c>
    </row>
    <row r="127" spans="1:18" x14ac:dyDescent="0.35">
      <c r="A127" t="s">
        <v>88</v>
      </c>
      <c r="B127" t="str">
        <f t="shared" si="5"/>
        <v>APX1224</v>
      </c>
      <c r="C127" s="3">
        <v>45766</v>
      </c>
      <c r="D127" s="3">
        <f>IF(ISNUMBER(C127), C127, DATE(RIGHT(C127, 4), MATCH(LEFT(C127, 3), {"Jan","Feb","Mar","Apr","May","Jun","Jul","Aug","Sep","Oct","Nov","Dec"}, 0), MID(C127, 5, 2)))</f>
        <v>45766</v>
      </c>
      <c r="E127" s="3" t="str">
        <f t="shared" si="6"/>
        <v>Apr</v>
      </c>
      <c r="F127" s="3" t="str">
        <f t="shared" si="7"/>
        <v>2025</v>
      </c>
      <c r="G127" s="4">
        <f t="shared" si="8"/>
        <v>4</v>
      </c>
      <c r="H127" s="3" t="str">
        <f t="shared" si="9"/>
        <v>Q-2</v>
      </c>
      <c r="I127" t="s">
        <v>503</v>
      </c>
      <c r="J127" t="s">
        <v>28</v>
      </c>
      <c r="K127">
        <v>30</v>
      </c>
      <c r="L127" s="5">
        <v>850000</v>
      </c>
      <c r="M127">
        <v>11</v>
      </c>
      <c r="N127" t="s">
        <v>70</v>
      </c>
      <c r="O127" t="s">
        <v>506</v>
      </c>
      <c r="P127" t="s">
        <v>25</v>
      </c>
      <c r="Q127" s="5">
        <f>Table1[[#This Row],[Quantity]]*Table1[[#This Row],[Unit_Price]]</f>
        <v>25500000</v>
      </c>
      <c r="R127" t="str">
        <f>IF(Table1[[#This Row],[Delivery_Days]]&lt;=3,"Fast",IF(Table1[[#This Row],[Delivery_Days]]&lt;=7,"Normal","Late"))</f>
        <v>Late</v>
      </c>
    </row>
    <row r="128" spans="1:18" x14ac:dyDescent="0.35">
      <c r="A128" t="s">
        <v>197</v>
      </c>
      <c r="B128" t="str">
        <f t="shared" si="5"/>
        <v>APX1000</v>
      </c>
      <c r="C128" s="3">
        <v>45728</v>
      </c>
      <c r="D128" s="3">
        <f>IF(ISNUMBER(C128), C128, DATE(RIGHT(C128, 4), MATCH(LEFT(C128, 3), {"Jan","Feb","Mar","Apr","May","Jun","Jul","Aug","Sep","Oct","Nov","Dec"}, 0), MID(C128, 5, 2)))</f>
        <v>45728</v>
      </c>
      <c r="E128" s="3" t="str">
        <f t="shared" si="6"/>
        <v>Mar</v>
      </c>
      <c r="F128" s="3" t="str">
        <f t="shared" si="7"/>
        <v>2025</v>
      </c>
      <c r="G128" s="4">
        <f t="shared" si="8"/>
        <v>3</v>
      </c>
      <c r="H128" s="3" t="str">
        <f t="shared" si="9"/>
        <v>Q-1</v>
      </c>
      <c r="I128" t="s">
        <v>76</v>
      </c>
      <c r="J128" t="s">
        <v>32</v>
      </c>
      <c r="K128">
        <v>30</v>
      </c>
      <c r="L128" s="5">
        <v>16349</v>
      </c>
      <c r="M128">
        <v>10</v>
      </c>
      <c r="N128" t="s">
        <v>40</v>
      </c>
      <c r="O128" t="s">
        <v>14</v>
      </c>
      <c r="P128" t="s">
        <v>25</v>
      </c>
      <c r="Q128" s="5">
        <f>Table1[[#This Row],[Quantity]]*Table1[[#This Row],[Unit_Price]]</f>
        <v>490470</v>
      </c>
      <c r="R128" t="str">
        <f>IF(Table1[[#This Row],[Delivery_Days]]&lt;=3,"Fast",IF(Table1[[#This Row],[Delivery_Days]]&lt;=7,"Normal","Late"))</f>
        <v>Late</v>
      </c>
    </row>
    <row r="129" spans="1:18" x14ac:dyDescent="0.35">
      <c r="A129" t="s">
        <v>198</v>
      </c>
      <c r="B129" t="str">
        <f t="shared" si="5"/>
        <v>APX1404</v>
      </c>
      <c r="C129" s="3" t="s">
        <v>54</v>
      </c>
      <c r="D129" s="3">
        <f>IF(ISNUMBER(C129), C129, DATE(RIGHT(C129, 4), MATCH(LEFT(C129, 3), {"Jan","Feb","Mar","Apr","May","Jun","Jul","Aug","Sep","Oct","Nov","Dec"}, 0), MID(C129, 5, 2)))</f>
        <v>45899</v>
      </c>
      <c r="E129" s="3" t="str">
        <f t="shared" si="6"/>
        <v>Aug</v>
      </c>
      <c r="F129" s="3" t="str">
        <f t="shared" si="7"/>
        <v>2025</v>
      </c>
      <c r="G129" s="4">
        <f t="shared" si="8"/>
        <v>8</v>
      </c>
      <c r="H129" s="3" t="str">
        <f t="shared" si="9"/>
        <v>Q-3</v>
      </c>
      <c r="I129" t="s">
        <v>76</v>
      </c>
      <c r="J129" t="s">
        <v>39</v>
      </c>
      <c r="K129">
        <v>2500</v>
      </c>
      <c r="L129" s="5">
        <v>800</v>
      </c>
      <c r="M129">
        <v>95</v>
      </c>
      <c r="N129" t="s">
        <v>40</v>
      </c>
      <c r="O129" t="s">
        <v>506</v>
      </c>
      <c r="P129" t="s">
        <v>25</v>
      </c>
      <c r="Q129" s="5">
        <f>Table1[[#This Row],[Quantity]]*Table1[[#This Row],[Unit_Price]]</f>
        <v>2000000</v>
      </c>
      <c r="R129" t="str">
        <f>IF(Table1[[#This Row],[Delivery_Days]]&lt;=3,"Fast",IF(Table1[[#This Row],[Delivery_Days]]&lt;=7,"Normal","Late"))</f>
        <v>Late</v>
      </c>
    </row>
    <row r="130" spans="1:18" x14ac:dyDescent="0.35">
      <c r="A130" t="s">
        <v>151</v>
      </c>
      <c r="B130" t="str">
        <f t="shared" si="5"/>
        <v>APX1307</v>
      </c>
      <c r="C130" s="3">
        <v>45753</v>
      </c>
      <c r="D130" s="3">
        <f>IF(ISNUMBER(C130), C130, DATE(RIGHT(C130, 4), MATCH(LEFT(C130, 3), {"Jan","Feb","Mar","Apr","May","Jun","Jul","Aug","Sep","Oct","Nov","Dec"}, 0), MID(C130, 5, 2)))</f>
        <v>45753</v>
      </c>
      <c r="E130" s="3" t="str">
        <f t="shared" si="6"/>
        <v>Apr</v>
      </c>
      <c r="F130" s="3" t="str">
        <f t="shared" si="7"/>
        <v>2025</v>
      </c>
      <c r="G130" s="4">
        <f t="shared" si="8"/>
        <v>4</v>
      </c>
      <c r="H130" s="3" t="str">
        <f t="shared" si="9"/>
        <v>Q-2</v>
      </c>
      <c r="I130" t="s">
        <v>510</v>
      </c>
      <c r="J130" t="s">
        <v>32</v>
      </c>
      <c r="K130">
        <v>12</v>
      </c>
      <c r="L130" s="5">
        <v>6500</v>
      </c>
      <c r="M130">
        <v>3</v>
      </c>
      <c r="N130" t="s">
        <v>504</v>
      </c>
      <c r="O130" t="s">
        <v>506</v>
      </c>
      <c r="P130" t="s">
        <v>42</v>
      </c>
      <c r="Q130" s="5">
        <f>Table1[[#This Row],[Quantity]]*Table1[[#This Row],[Unit_Price]]</f>
        <v>78000</v>
      </c>
      <c r="R130" t="str">
        <f>IF(Table1[[#This Row],[Delivery_Days]]&lt;=3,"Fast",IF(Table1[[#This Row],[Delivery_Days]]&lt;=7,"Normal","Late"))</f>
        <v>Fast</v>
      </c>
    </row>
    <row r="131" spans="1:18" x14ac:dyDescent="0.35">
      <c r="A131" t="s">
        <v>199</v>
      </c>
      <c r="B131" t="str">
        <f t="shared" ref="B131:B194" si="10">IF(LEFT(A131,3)="APX",A131,"APX" &amp; A131)</f>
        <v>APX1184</v>
      </c>
      <c r="C131" s="3">
        <v>45688</v>
      </c>
      <c r="D131" s="3">
        <f>IF(ISNUMBER(C131), C131, DATE(RIGHT(C131, 4), MATCH(LEFT(C131, 3), {"Jan","Feb","Mar","Apr","May","Jun","Jul","Aug","Sep","Oct","Nov","Dec"}, 0), MID(C131, 5, 2)))</f>
        <v>45688</v>
      </c>
      <c r="E131" s="3" t="str">
        <f t="shared" ref="E131:E194" si="11">TEXT(D131,"mmm")</f>
        <v>Jan</v>
      </c>
      <c r="F131" s="3" t="str">
        <f t="shared" ref="F131:F194" si="12">TEXT(D131,"yyyy")</f>
        <v>2025</v>
      </c>
      <c r="G131" s="4">
        <f t="shared" ref="G131:G194" si="13">MONTH(D131)</f>
        <v>1</v>
      </c>
      <c r="H131" s="3" t="str">
        <f t="shared" ref="H131:H194" si="14">IF(G131&lt;=3,"Q-1",IF(G131&lt;=6,"Q-2",IF(G131&lt;9,"Q-3","Q-4")))</f>
        <v>Q-1</v>
      </c>
      <c r="I131" t="s">
        <v>502</v>
      </c>
      <c r="J131" t="s">
        <v>32</v>
      </c>
      <c r="K131">
        <v>30</v>
      </c>
      <c r="L131" s="5">
        <v>6500</v>
      </c>
      <c r="M131">
        <v>95</v>
      </c>
      <c r="N131" t="s">
        <v>560</v>
      </c>
      <c r="O131" t="s">
        <v>14</v>
      </c>
      <c r="P131" t="s">
        <v>74</v>
      </c>
      <c r="Q131" s="5">
        <f>Table1[[#This Row],[Quantity]]*Table1[[#This Row],[Unit_Price]]</f>
        <v>195000</v>
      </c>
      <c r="R131" t="str">
        <f>IF(Table1[[#This Row],[Delivery_Days]]&lt;=3,"Fast",IF(Table1[[#This Row],[Delivery_Days]]&lt;=7,"Normal","Late"))</f>
        <v>Late</v>
      </c>
    </row>
    <row r="132" spans="1:18" x14ac:dyDescent="0.35">
      <c r="A132" t="s">
        <v>200</v>
      </c>
      <c r="B132" t="str">
        <f t="shared" si="10"/>
        <v>APX1384</v>
      </c>
      <c r="C132" s="3">
        <v>45965</v>
      </c>
      <c r="D132" s="3">
        <f>IF(ISNUMBER(C132), C132, DATE(RIGHT(C132, 4), MATCH(LEFT(C132, 3), {"Jan","Feb","Mar","Apr","May","Jun","Jul","Aug","Sep","Oct","Nov","Dec"}, 0), MID(C132, 5, 2)))</f>
        <v>45965</v>
      </c>
      <c r="E132" s="3" t="str">
        <f t="shared" si="11"/>
        <v>Nov</v>
      </c>
      <c r="F132" s="3" t="str">
        <f t="shared" si="12"/>
        <v>2025</v>
      </c>
      <c r="G132" s="4">
        <f t="shared" si="13"/>
        <v>11</v>
      </c>
      <c r="H132" s="3" t="str">
        <f t="shared" si="14"/>
        <v>Q-4</v>
      </c>
      <c r="I132" t="s">
        <v>11</v>
      </c>
      <c r="J132" t="s">
        <v>32</v>
      </c>
      <c r="K132">
        <v>2500</v>
      </c>
      <c r="L132" s="5">
        <v>4500</v>
      </c>
      <c r="M132">
        <v>95</v>
      </c>
      <c r="N132" t="s">
        <v>40</v>
      </c>
      <c r="O132" t="s">
        <v>46</v>
      </c>
      <c r="P132" t="s">
        <v>74</v>
      </c>
      <c r="Q132" s="5">
        <f>Table1[[#This Row],[Quantity]]*Table1[[#This Row],[Unit_Price]]</f>
        <v>11250000</v>
      </c>
      <c r="R132" t="str">
        <f>IF(Table1[[#This Row],[Delivery_Days]]&lt;=3,"Fast",IF(Table1[[#This Row],[Delivery_Days]]&lt;=7,"Normal","Late"))</f>
        <v>Late</v>
      </c>
    </row>
    <row r="133" spans="1:18" x14ac:dyDescent="0.35">
      <c r="A133" t="s">
        <v>201</v>
      </c>
      <c r="B133" t="str">
        <f t="shared" si="10"/>
        <v>APX1130</v>
      </c>
      <c r="C133" s="3" t="s">
        <v>202</v>
      </c>
      <c r="D133" s="3">
        <f>IF(ISNUMBER(C133), C133, DATE(RIGHT(C133, 4), MATCH(LEFT(C133, 3), {"Jan","Feb","Mar","Apr","May","Jun","Jul","Aug","Sep","Oct","Nov","Dec"}, 0), MID(C133, 5, 2)))</f>
        <v>45758</v>
      </c>
      <c r="E133" s="3" t="str">
        <f t="shared" si="11"/>
        <v>Apr</v>
      </c>
      <c r="F133" s="3" t="str">
        <f t="shared" si="12"/>
        <v>2025</v>
      </c>
      <c r="G133" s="4">
        <f t="shared" si="13"/>
        <v>4</v>
      </c>
      <c r="H133" s="3" t="str">
        <f t="shared" si="14"/>
        <v>Q-2</v>
      </c>
      <c r="I133" t="s">
        <v>510</v>
      </c>
      <c r="J133" t="s">
        <v>28</v>
      </c>
      <c r="K133">
        <v>106</v>
      </c>
      <c r="L133" s="5">
        <v>4500</v>
      </c>
      <c r="M133">
        <v>95</v>
      </c>
      <c r="N133" t="s">
        <v>40</v>
      </c>
      <c r="O133" t="s">
        <v>506</v>
      </c>
      <c r="P133" t="s">
        <v>15</v>
      </c>
      <c r="Q133" s="5">
        <f>Table1[[#This Row],[Quantity]]*Table1[[#This Row],[Unit_Price]]</f>
        <v>477000</v>
      </c>
      <c r="R133" t="str">
        <f>IF(Table1[[#This Row],[Delivery_Days]]&lt;=3,"Fast",IF(Table1[[#This Row],[Delivery_Days]]&lt;=7,"Normal","Late"))</f>
        <v>Late</v>
      </c>
    </row>
    <row r="134" spans="1:18" x14ac:dyDescent="0.35">
      <c r="A134" t="s">
        <v>203</v>
      </c>
      <c r="B134" t="str">
        <f t="shared" si="10"/>
        <v>APX1026</v>
      </c>
      <c r="C134" s="3">
        <v>45707</v>
      </c>
      <c r="D134" s="3">
        <f>IF(ISNUMBER(C134), C134, DATE(RIGHT(C134, 4), MATCH(LEFT(C134, 3), {"Jan","Feb","Mar","Apr","May","Jun","Jul","Aug","Sep","Oct","Nov","Dec"}, 0), MID(C134, 5, 2)))</f>
        <v>45707</v>
      </c>
      <c r="E134" s="3" t="str">
        <f t="shared" si="11"/>
        <v>Feb</v>
      </c>
      <c r="F134" s="3" t="str">
        <f t="shared" si="12"/>
        <v>2025</v>
      </c>
      <c r="G134" s="4">
        <f t="shared" si="13"/>
        <v>2</v>
      </c>
      <c r="H134" s="3" t="str">
        <f t="shared" si="14"/>
        <v>Q-1</v>
      </c>
      <c r="I134" t="s">
        <v>11</v>
      </c>
      <c r="J134" t="s">
        <v>32</v>
      </c>
      <c r="K134">
        <v>12</v>
      </c>
      <c r="L134" s="5">
        <v>4500</v>
      </c>
      <c r="M134">
        <v>3</v>
      </c>
      <c r="N134" t="s">
        <v>40</v>
      </c>
      <c r="O134" t="s">
        <v>506</v>
      </c>
      <c r="P134" t="s">
        <v>74</v>
      </c>
      <c r="Q134" s="5">
        <f>Table1[[#This Row],[Quantity]]*Table1[[#This Row],[Unit_Price]]</f>
        <v>54000</v>
      </c>
      <c r="R134" t="str">
        <f>IF(Table1[[#This Row],[Delivery_Days]]&lt;=3,"Fast",IF(Table1[[#This Row],[Delivery_Days]]&lt;=7,"Normal","Late"))</f>
        <v>Fast</v>
      </c>
    </row>
    <row r="135" spans="1:18" x14ac:dyDescent="0.35">
      <c r="A135" t="s">
        <v>105</v>
      </c>
      <c r="B135" t="str">
        <f t="shared" si="10"/>
        <v>APX1417</v>
      </c>
      <c r="C135" s="3">
        <v>45817</v>
      </c>
      <c r="D135" s="3">
        <f>IF(ISNUMBER(C135), C135, DATE(RIGHT(C135, 4), MATCH(LEFT(C135, 3), {"Jan","Feb","Mar","Apr","May","Jun","Jul","Aug","Sep","Oct","Nov","Dec"}, 0), MID(C135, 5, 2)))</f>
        <v>45817</v>
      </c>
      <c r="E135" s="3" t="str">
        <f t="shared" si="11"/>
        <v>Jun</v>
      </c>
      <c r="F135" s="3" t="str">
        <f t="shared" si="12"/>
        <v>2025</v>
      </c>
      <c r="G135" s="4">
        <f t="shared" si="13"/>
        <v>6</v>
      </c>
      <c r="H135" s="3" t="str">
        <f t="shared" si="14"/>
        <v>Q-2</v>
      </c>
      <c r="I135" t="s">
        <v>76</v>
      </c>
      <c r="J135" t="s">
        <v>32</v>
      </c>
      <c r="K135">
        <v>12</v>
      </c>
      <c r="L135" s="5">
        <v>4500</v>
      </c>
      <c r="M135">
        <v>95</v>
      </c>
      <c r="N135" t="s">
        <v>40</v>
      </c>
      <c r="O135" t="s">
        <v>14</v>
      </c>
      <c r="P135" t="s">
        <v>42</v>
      </c>
      <c r="Q135" s="5">
        <f>Table1[[#This Row],[Quantity]]*Table1[[#This Row],[Unit_Price]]</f>
        <v>54000</v>
      </c>
      <c r="R135" t="str">
        <f>IF(Table1[[#This Row],[Delivery_Days]]&lt;=3,"Fast",IF(Table1[[#This Row],[Delivery_Days]]&lt;=7,"Normal","Late"))</f>
        <v>Late</v>
      </c>
    </row>
    <row r="136" spans="1:18" x14ac:dyDescent="0.35">
      <c r="A136" t="s">
        <v>205</v>
      </c>
      <c r="B136" t="str">
        <f t="shared" si="10"/>
        <v>APX1370</v>
      </c>
      <c r="C136" s="3" t="s">
        <v>206</v>
      </c>
      <c r="D136" s="3">
        <f>IF(ISNUMBER(C136), C136, DATE(RIGHT(C136, 4), MATCH(LEFT(C136, 3), {"Jan","Feb","Mar","Apr","May","Jun","Jul","Aug","Sep","Oct","Nov","Dec"}, 0), MID(C136, 5, 2)))</f>
        <v>45733</v>
      </c>
      <c r="E136" s="3" t="str">
        <f t="shared" si="11"/>
        <v>Mar</v>
      </c>
      <c r="F136" s="3" t="str">
        <f t="shared" si="12"/>
        <v>2025</v>
      </c>
      <c r="G136" s="4">
        <f t="shared" si="13"/>
        <v>3</v>
      </c>
      <c r="H136" s="3" t="str">
        <f t="shared" si="14"/>
        <v>Q-1</v>
      </c>
      <c r="I136" t="s">
        <v>76</v>
      </c>
      <c r="J136" t="s">
        <v>32</v>
      </c>
      <c r="K136">
        <v>12</v>
      </c>
      <c r="L136" s="5">
        <v>6500</v>
      </c>
      <c r="M136">
        <v>3</v>
      </c>
      <c r="N136" t="s">
        <v>560</v>
      </c>
      <c r="O136" t="s">
        <v>506</v>
      </c>
      <c r="P136" t="s">
        <v>15</v>
      </c>
      <c r="Q136" s="5">
        <f>Table1[[#This Row],[Quantity]]*Table1[[#This Row],[Unit_Price]]</f>
        <v>78000</v>
      </c>
      <c r="R136" t="str">
        <f>IF(Table1[[#This Row],[Delivery_Days]]&lt;=3,"Fast",IF(Table1[[#This Row],[Delivery_Days]]&lt;=7,"Normal","Late"))</f>
        <v>Fast</v>
      </c>
    </row>
    <row r="137" spans="1:18" x14ac:dyDescent="0.35">
      <c r="A137" t="s">
        <v>207</v>
      </c>
      <c r="B137" t="str">
        <f t="shared" si="10"/>
        <v>APX1199</v>
      </c>
      <c r="C137" s="3" t="s">
        <v>208</v>
      </c>
      <c r="D137" s="3">
        <f>IF(ISNUMBER(C137), C137, DATE(RIGHT(C137, 4), MATCH(LEFT(C137, 3), {"Jan","Feb","Mar","Apr","May","Jun","Jul","Aug","Sep","Oct","Nov","Dec"}, 0), MID(C137, 5, 2)))</f>
        <v>45863</v>
      </c>
      <c r="E137" s="3" t="str">
        <f t="shared" si="11"/>
        <v>Jul</v>
      </c>
      <c r="F137" s="3" t="str">
        <f t="shared" si="12"/>
        <v>2025</v>
      </c>
      <c r="G137" s="4">
        <f t="shared" si="13"/>
        <v>7</v>
      </c>
      <c r="H137" s="3" t="str">
        <f t="shared" si="14"/>
        <v>Q-3</v>
      </c>
      <c r="I137" t="s">
        <v>76</v>
      </c>
      <c r="J137" t="s">
        <v>32</v>
      </c>
      <c r="K137">
        <v>30</v>
      </c>
      <c r="L137" s="5">
        <v>4500</v>
      </c>
      <c r="M137">
        <v>3</v>
      </c>
      <c r="N137" t="s">
        <v>70</v>
      </c>
      <c r="O137" t="s">
        <v>506</v>
      </c>
      <c r="P137" t="s">
        <v>74</v>
      </c>
      <c r="Q137" s="5">
        <f>Table1[[#This Row],[Quantity]]*Table1[[#This Row],[Unit_Price]]</f>
        <v>135000</v>
      </c>
      <c r="R137" t="str">
        <f>IF(Table1[[#This Row],[Delivery_Days]]&lt;=3,"Fast",IF(Table1[[#This Row],[Delivery_Days]]&lt;=7,"Normal","Late"))</f>
        <v>Fast</v>
      </c>
    </row>
    <row r="138" spans="1:18" x14ac:dyDescent="0.35">
      <c r="A138" t="s">
        <v>209</v>
      </c>
      <c r="B138" t="str">
        <f t="shared" si="10"/>
        <v>APX1006</v>
      </c>
      <c r="C138" s="3">
        <v>45900</v>
      </c>
      <c r="D138" s="3">
        <f>IF(ISNUMBER(C138), C138, DATE(RIGHT(C138, 4), MATCH(LEFT(C138, 3), {"Jan","Feb","Mar","Apr","May","Jun","Jul","Aug","Sep","Oct","Nov","Dec"}, 0), MID(C138, 5, 2)))</f>
        <v>45900</v>
      </c>
      <c r="E138" s="3" t="str">
        <f t="shared" si="11"/>
        <v>Aug</v>
      </c>
      <c r="F138" s="3" t="str">
        <f t="shared" si="12"/>
        <v>2025</v>
      </c>
      <c r="G138" s="4">
        <f t="shared" si="13"/>
        <v>8</v>
      </c>
      <c r="H138" s="3" t="str">
        <f t="shared" si="14"/>
        <v>Q-3</v>
      </c>
      <c r="I138" t="s">
        <v>503</v>
      </c>
      <c r="J138" t="s">
        <v>32</v>
      </c>
      <c r="K138">
        <v>30</v>
      </c>
      <c r="L138" s="5">
        <v>4500</v>
      </c>
      <c r="M138">
        <v>95</v>
      </c>
      <c r="N138" t="s">
        <v>70</v>
      </c>
      <c r="O138" t="s">
        <v>46</v>
      </c>
      <c r="P138" t="s">
        <v>42</v>
      </c>
      <c r="Q138" s="5">
        <f>Table1[[#This Row],[Quantity]]*Table1[[#This Row],[Unit_Price]]</f>
        <v>135000</v>
      </c>
      <c r="R138" t="str">
        <f>IF(Table1[[#This Row],[Delivery_Days]]&lt;=3,"Fast",IF(Table1[[#This Row],[Delivery_Days]]&lt;=7,"Normal","Late"))</f>
        <v>Late</v>
      </c>
    </row>
    <row r="139" spans="1:18" x14ac:dyDescent="0.35">
      <c r="A139" t="s">
        <v>211</v>
      </c>
      <c r="B139" t="str">
        <f t="shared" si="10"/>
        <v>APX1421</v>
      </c>
      <c r="C139" s="3">
        <v>45795</v>
      </c>
      <c r="D139" s="3">
        <f>IF(ISNUMBER(C139), C139, DATE(RIGHT(C139, 4), MATCH(LEFT(C139, 3), {"Jan","Feb","Mar","Apr","May","Jun","Jul","Aug","Sep","Oct","Nov","Dec"}, 0), MID(C139, 5, 2)))</f>
        <v>45795</v>
      </c>
      <c r="E139" s="3" t="str">
        <f t="shared" si="11"/>
        <v>May</v>
      </c>
      <c r="F139" s="3" t="str">
        <f t="shared" si="12"/>
        <v>2025</v>
      </c>
      <c r="G139" s="4">
        <f t="shared" si="13"/>
        <v>5</v>
      </c>
      <c r="H139" s="3" t="str">
        <f t="shared" si="14"/>
        <v>Q-2</v>
      </c>
      <c r="I139" t="s">
        <v>76</v>
      </c>
      <c r="J139" t="s">
        <v>28</v>
      </c>
      <c r="K139">
        <v>147</v>
      </c>
      <c r="L139" s="5">
        <v>6500</v>
      </c>
      <c r="M139">
        <v>95</v>
      </c>
      <c r="N139" t="s">
        <v>40</v>
      </c>
      <c r="O139" t="s">
        <v>14</v>
      </c>
      <c r="P139" t="s">
        <v>74</v>
      </c>
      <c r="Q139" s="5">
        <f>Table1[[#This Row],[Quantity]]*Table1[[#This Row],[Unit_Price]]</f>
        <v>955500</v>
      </c>
      <c r="R139" t="str">
        <f>IF(Table1[[#This Row],[Delivery_Days]]&lt;=3,"Fast",IF(Table1[[#This Row],[Delivery_Days]]&lt;=7,"Normal","Late"))</f>
        <v>Late</v>
      </c>
    </row>
    <row r="140" spans="1:18" x14ac:dyDescent="0.35">
      <c r="A140" t="s">
        <v>212</v>
      </c>
      <c r="B140" t="str">
        <f t="shared" si="10"/>
        <v>APX1394</v>
      </c>
      <c r="C140" s="3" t="s">
        <v>213</v>
      </c>
      <c r="D140" s="3">
        <f>IF(ISNUMBER(C140), C140, DATE(RIGHT(C140, 4), MATCH(LEFT(C140, 3), {"Jan","Feb","Mar","Apr","May","Jun","Jul","Aug","Sep","Oct","Nov","Dec"}, 0), MID(C140, 5, 2)))</f>
        <v>45909</v>
      </c>
      <c r="E140" s="3" t="str">
        <f t="shared" si="11"/>
        <v>Sep</v>
      </c>
      <c r="F140" s="3" t="str">
        <f t="shared" si="12"/>
        <v>2025</v>
      </c>
      <c r="G140" s="4">
        <f t="shared" si="13"/>
        <v>9</v>
      </c>
      <c r="H140" s="3" t="str">
        <f t="shared" si="14"/>
        <v>Q-4</v>
      </c>
      <c r="I140" t="s">
        <v>503</v>
      </c>
      <c r="J140" t="s">
        <v>28</v>
      </c>
      <c r="K140">
        <v>12</v>
      </c>
      <c r="L140" s="5">
        <v>800</v>
      </c>
      <c r="M140">
        <v>3</v>
      </c>
      <c r="N140" t="s">
        <v>40</v>
      </c>
      <c r="O140" t="s">
        <v>46</v>
      </c>
      <c r="P140" t="s">
        <v>15</v>
      </c>
      <c r="Q140" s="5">
        <f>Table1[[#This Row],[Quantity]]*Table1[[#This Row],[Unit_Price]]</f>
        <v>9600</v>
      </c>
      <c r="R140" t="str">
        <f>IF(Table1[[#This Row],[Delivery_Days]]&lt;=3,"Fast",IF(Table1[[#This Row],[Delivery_Days]]&lt;=7,"Normal","Late"))</f>
        <v>Fast</v>
      </c>
    </row>
    <row r="141" spans="1:18" x14ac:dyDescent="0.35">
      <c r="A141" t="s">
        <v>214</v>
      </c>
      <c r="B141" t="str">
        <f t="shared" si="10"/>
        <v>APX1146</v>
      </c>
      <c r="C141" s="3">
        <v>45976</v>
      </c>
      <c r="D141" s="3">
        <f>IF(ISNUMBER(C141), C141, DATE(RIGHT(C141, 4), MATCH(LEFT(C141, 3), {"Jan","Feb","Mar","Apr","May","Jun","Jul","Aug","Sep","Oct","Nov","Dec"}, 0), MID(C141, 5, 2)))</f>
        <v>45976</v>
      </c>
      <c r="E141" s="3" t="str">
        <f t="shared" si="11"/>
        <v>Nov</v>
      </c>
      <c r="F141" s="3" t="str">
        <f t="shared" si="12"/>
        <v>2025</v>
      </c>
      <c r="G141" s="4">
        <f t="shared" si="13"/>
        <v>11</v>
      </c>
      <c r="H141" s="3" t="str">
        <f t="shared" si="14"/>
        <v>Q-4</v>
      </c>
      <c r="I141" t="s">
        <v>76</v>
      </c>
      <c r="J141" t="s">
        <v>39</v>
      </c>
      <c r="K141">
        <v>30</v>
      </c>
      <c r="L141" s="5">
        <v>850000</v>
      </c>
      <c r="M141">
        <v>3</v>
      </c>
      <c r="N141" t="s">
        <v>40</v>
      </c>
      <c r="O141" t="s">
        <v>46</v>
      </c>
      <c r="P141" t="s">
        <v>15</v>
      </c>
      <c r="Q141" s="5">
        <f>Table1[[#This Row],[Quantity]]*Table1[[#This Row],[Unit_Price]]</f>
        <v>25500000</v>
      </c>
      <c r="R141" t="str">
        <f>IF(Table1[[#This Row],[Delivery_Days]]&lt;=3,"Fast",IF(Table1[[#This Row],[Delivery_Days]]&lt;=7,"Normal","Late"))</f>
        <v>Fast</v>
      </c>
    </row>
    <row r="142" spans="1:18" x14ac:dyDescent="0.35">
      <c r="A142" t="s">
        <v>216</v>
      </c>
      <c r="B142" t="str">
        <f t="shared" si="10"/>
        <v>APX1331</v>
      </c>
      <c r="C142" s="3">
        <v>46014</v>
      </c>
      <c r="D142" s="3">
        <f>IF(ISNUMBER(C142), C142, DATE(RIGHT(C142, 4), MATCH(LEFT(C142, 3), {"Jan","Feb","Mar","Apr","May","Jun","Jul","Aug","Sep","Oct","Nov","Dec"}, 0), MID(C142, 5, 2)))</f>
        <v>46014</v>
      </c>
      <c r="E142" s="3" t="str">
        <f t="shared" si="11"/>
        <v>Dec</v>
      </c>
      <c r="F142" s="3" t="str">
        <f t="shared" si="12"/>
        <v>2025</v>
      </c>
      <c r="G142" s="4">
        <f t="shared" si="13"/>
        <v>12</v>
      </c>
      <c r="H142" s="3" t="str">
        <f t="shared" si="14"/>
        <v>Q-4</v>
      </c>
      <c r="I142" t="s">
        <v>510</v>
      </c>
      <c r="J142" t="s">
        <v>28</v>
      </c>
      <c r="K142">
        <v>2500</v>
      </c>
      <c r="L142" s="5">
        <v>4500</v>
      </c>
      <c r="M142">
        <v>95</v>
      </c>
      <c r="N142" t="s">
        <v>40</v>
      </c>
      <c r="O142" t="s">
        <v>506</v>
      </c>
      <c r="P142" t="s">
        <v>25</v>
      </c>
      <c r="Q142" s="5">
        <f>Table1[[#This Row],[Quantity]]*Table1[[#This Row],[Unit_Price]]</f>
        <v>11250000</v>
      </c>
      <c r="R142" t="str">
        <f>IF(Table1[[#This Row],[Delivery_Days]]&lt;=3,"Fast",IF(Table1[[#This Row],[Delivery_Days]]&lt;=7,"Normal","Late"))</f>
        <v>Late</v>
      </c>
    </row>
    <row r="143" spans="1:18" x14ac:dyDescent="0.35">
      <c r="A143" t="s">
        <v>217</v>
      </c>
      <c r="B143" t="str">
        <f t="shared" si="10"/>
        <v>APX1401</v>
      </c>
      <c r="C143" s="3">
        <v>45679</v>
      </c>
      <c r="D143" s="3">
        <f>IF(ISNUMBER(C143), C143, DATE(RIGHT(C143, 4), MATCH(LEFT(C143, 3), {"Jan","Feb","Mar","Apr","May","Jun","Jul","Aug","Sep","Oct","Nov","Dec"}, 0), MID(C143, 5, 2)))</f>
        <v>45679</v>
      </c>
      <c r="E143" s="3" t="str">
        <f t="shared" si="11"/>
        <v>Jan</v>
      </c>
      <c r="F143" s="3" t="str">
        <f t="shared" si="12"/>
        <v>2025</v>
      </c>
      <c r="G143" s="4">
        <f t="shared" si="13"/>
        <v>1</v>
      </c>
      <c r="H143" s="3" t="str">
        <f t="shared" si="14"/>
        <v>Q-1</v>
      </c>
      <c r="I143" t="s">
        <v>76</v>
      </c>
      <c r="J143" t="s">
        <v>32</v>
      </c>
      <c r="K143">
        <v>12</v>
      </c>
      <c r="L143" s="5">
        <v>850000</v>
      </c>
      <c r="M143">
        <v>3</v>
      </c>
      <c r="N143" t="s">
        <v>504</v>
      </c>
      <c r="O143" t="s">
        <v>506</v>
      </c>
      <c r="P143" t="s">
        <v>42</v>
      </c>
      <c r="Q143" s="5">
        <f>Table1[[#This Row],[Quantity]]*Table1[[#This Row],[Unit_Price]]</f>
        <v>10200000</v>
      </c>
      <c r="R143" t="str">
        <f>IF(Table1[[#This Row],[Delivery_Days]]&lt;=3,"Fast",IF(Table1[[#This Row],[Delivery_Days]]&lt;=7,"Normal","Late"))</f>
        <v>Fast</v>
      </c>
    </row>
    <row r="144" spans="1:18" x14ac:dyDescent="0.35">
      <c r="A144" t="s">
        <v>219</v>
      </c>
      <c r="B144" t="str">
        <f t="shared" si="10"/>
        <v>APX1009</v>
      </c>
      <c r="C144" s="3">
        <v>45799</v>
      </c>
      <c r="D144" s="3">
        <f>IF(ISNUMBER(C144), C144, DATE(RIGHT(C144, 4), MATCH(LEFT(C144, 3), {"Jan","Feb","Mar","Apr","May","Jun","Jul","Aug","Sep","Oct","Nov","Dec"}, 0), MID(C144, 5, 2)))</f>
        <v>45799</v>
      </c>
      <c r="E144" s="3" t="str">
        <f t="shared" si="11"/>
        <v>May</v>
      </c>
      <c r="F144" s="3" t="str">
        <f t="shared" si="12"/>
        <v>2025</v>
      </c>
      <c r="G144" s="4">
        <f t="shared" si="13"/>
        <v>5</v>
      </c>
      <c r="H144" s="3" t="str">
        <f t="shared" si="14"/>
        <v>Q-2</v>
      </c>
      <c r="I144" t="s">
        <v>503</v>
      </c>
      <c r="J144" t="s">
        <v>32</v>
      </c>
      <c r="K144">
        <v>44</v>
      </c>
      <c r="L144" s="5">
        <v>18704</v>
      </c>
      <c r="M144">
        <v>3</v>
      </c>
      <c r="N144" t="s">
        <v>70</v>
      </c>
      <c r="O144" t="s">
        <v>506</v>
      </c>
      <c r="P144" t="s">
        <v>15</v>
      </c>
      <c r="Q144" s="5">
        <f>Table1[[#This Row],[Quantity]]*Table1[[#This Row],[Unit_Price]]</f>
        <v>822976</v>
      </c>
      <c r="R144" t="str">
        <f>IF(Table1[[#This Row],[Delivery_Days]]&lt;=3,"Fast",IF(Table1[[#This Row],[Delivery_Days]]&lt;=7,"Normal","Late"))</f>
        <v>Fast</v>
      </c>
    </row>
    <row r="145" spans="1:18" x14ac:dyDescent="0.35">
      <c r="A145" t="s">
        <v>85</v>
      </c>
      <c r="B145" t="str">
        <f t="shared" si="10"/>
        <v>APX1287</v>
      </c>
      <c r="C145" s="3">
        <v>45701</v>
      </c>
      <c r="D145" s="3">
        <f>IF(ISNUMBER(C145), C145, DATE(RIGHT(C145, 4), MATCH(LEFT(C145, 3), {"Jan","Feb","Mar","Apr","May","Jun","Jul","Aug","Sep","Oct","Nov","Dec"}, 0), MID(C145, 5, 2)))</f>
        <v>45701</v>
      </c>
      <c r="E145" s="3" t="str">
        <f t="shared" si="11"/>
        <v>Feb</v>
      </c>
      <c r="F145" s="3" t="str">
        <f t="shared" si="12"/>
        <v>2025</v>
      </c>
      <c r="G145" s="4">
        <f t="shared" si="13"/>
        <v>2</v>
      </c>
      <c r="H145" s="3" t="str">
        <f t="shared" si="14"/>
        <v>Q-1</v>
      </c>
      <c r="I145" t="s">
        <v>510</v>
      </c>
      <c r="J145" t="s">
        <v>32</v>
      </c>
      <c r="K145">
        <v>160</v>
      </c>
      <c r="L145" s="5">
        <v>6500</v>
      </c>
      <c r="M145">
        <v>3</v>
      </c>
      <c r="N145" t="s">
        <v>504</v>
      </c>
      <c r="O145" t="s">
        <v>506</v>
      </c>
      <c r="P145" t="s">
        <v>15</v>
      </c>
      <c r="Q145" s="5">
        <f>Table1[[#This Row],[Quantity]]*Table1[[#This Row],[Unit_Price]]</f>
        <v>1040000</v>
      </c>
      <c r="R145" t="str">
        <f>IF(Table1[[#This Row],[Delivery_Days]]&lt;=3,"Fast",IF(Table1[[#This Row],[Delivery_Days]]&lt;=7,"Normal","Late"))</f>
        <v>Fast</v>
      </c>
    </row>
    <row r="146" spans="1:18" x14ac:dyDescent="0.35">
      <c r="A146" t="s">
        <v>95</v>
      </c>
      <c r="B146" t="str">
        <f t="shared" si="10"/>
        <v>APX1170</v>
      </c>
      <c r="C146" s="3">
        <v>45966</v>
      </c>
      <c r="D146" s="3">
        <f>IF(ISNUMBER(C146), C146, DATE(RIGHT(C146, 4), MATCH(LEFT(C146, 3), {"Jan","Feb","Mar","Apr","May","Jun","Jul","Aug","Sep","Oct","Nov","Dec"}, 0), MID(C146, 5, 2)))</f>
        <v>45966</v>
      </c>
      <c r="E146" s="3" t="str">
        <f t="shared" si="11"/>
        <v>Nov</v>
      </c>
      <c r="F146" s="3" t="str">
        <f t="shared" si="12"/>
        <v>2025</v>
      </c>
      <c r="G146" s="4">
        <f t="shared" si="13"/>
        <v>11</v>
      </c>
      <c r="H146" s="3" t="str">
        <f t="shared" si="14"/>
        <v>Q-4</v>
      </c>
      <c r="I146" t="s">
        <v>502</v>
      </c>
      <c r="J146" t="s">
        <v>39</v>
      </c>
      <c r="K146">
        <v>2500</v>
      </c>
      <c r="L146" s="5">
        <v>6500</v>
      </c>
      <c r="M146">
        <v>3</v>
      </c>
      <c r="N146" t="s">
        <v>70</v>
      </c>
      <c r="O146" t="s">
        <v>14</v>
      </c>
      <c r="P146" t="s">
        <v>42</v>
      </c>
      <c r="Q146" s="5">
        <f>Table1[[#This Row],[Quantity]]*Table1[[#This Row],[Unit_Price]]</f>
        <v>16250000</v>
      </c>
      <c r="R146" t="str">
        <f>IF(Table1[[#This Row],[Delivery_Days]]&lt;=3,"Fast",IF(Table1[[#This Row],[Delivery_Days]]&lt;=7,"Normal","Late"))</f>
        <v>Fast</v>
      </c>
    </row>
    <row r="147" spans="1:18" x14ac:dyDescent="0.35">
      <c r="A147" t="s">
        <v>221</v>
      </c>
      <c r="B147" t="str">
        <f t="shared" si="10"/>
        <v>APX1330</v>
      </c>
      <c r="C147" s="3">
        <v>45875</v>
      </c>
      <c r="D147" s="3">
        <f>IF(ISNUMBER(C147), C147, DATE(RIGHT(C147, 4), MATCH(LEFT(C147, 3), {"Jan","Feb","Mar","Apr","May","Jun","Jul","Aug","Sep","Oct","Nov","Dec"}, 0), MID(C147, 5, 2)))</f>
        <v>45875</v>
      </c>
      <c r="E147" s="3" t="str">
        <f t="shared" si="11"/>
        <v>Aug</v>
      </c>
      <c r="F147" s="3" t="str">
        <f t="shared" si="12"/>
        <v>2025</v>
      </c>
      <c r="G147" s="4">
        <f t="shared" si="13"/>
        <v>8</v>
      </c>
      <c r="H147" s="3" t="str">
        <f t="shared" si="14"/>
        <v>Q-3</v>
      </c>
      <c r="I147" t="s">
        <v>76</v>
      </c>
      <c r="J147" t="s">
        <v>64</v>
      </c>
      <c r="K147">
        <v>30</v>
      </c>
      <c r="L147" s="5">
        <v>4500</v>
      </c>
      <c r="M147">
        <v>8</v>
      </c>
      <c r="N147" t="s">
        <v>70</v>
      </c>
      <c r="O147" t="s">
        <v>506</v>
      </c>
      <c r="P147" t="s">
        <v>74</v>
      </c>
      <c r="Q147" s="5">
        <f>Table1[[#This Row],[Quantity]]*Table1[[#This Row],[Unit_Price]]</f>
        <v>135000</v>
      </c>
      <c r="R147" t="str">
        <f>IF(Table1[[#This Row],[Delivery_Days]]&lt;=3,"Fast",IF(Table1[[#This Row],[Delivery_Days]]&lt;=7,"Normal","Late"))</f>
        <v>Late</v>
      </c>
    </row>
    <row r="148" spans="1:18" x14ac:dyDescent="0.35">
      <c r="A148" t="s">
        <v>222</v>
      </c>
      <c r="B148" t="str">
        <f t="shared" si="10"/>
        <v>APX1369</v>
      </c>
      <c r="C148" s="3" t="s">
        <v>223</v>
      </c>
      <c r="D148" s="3">
        <f>IF(ISNUMBER(C148), C148, DATE(RIGHT(C148, 4), MATCH(LEFT(C148, 3), {"Jan","Feb","Mar","Apr","May","Jun","Jul","Aug","Sep","Oct","Nov","Dec"}, 0), MID(C148, 5, 2)))</f>
        <v>45776</v>
      </c>
      <c r="E148" s="3" t="str">
        <f t="shared" si="11"/>
        <v>Apr</v>
      </c>
      <c r="F148" s="3" t="str">
        <f t="shared" si="12"/>
        <v>2025</v>
      </c>
      <c r="G148" s="4">
        <f t="shared" si="13"/>
        <v>4</v>
      </c>
      <c r="H148" s="3" t="str">
        <f t="shared" si="14"/>
        <v>Q-2</v>
      </c>
      <c r="I148" t="s">
        <v>17</v>
      </c>
      <c r="J148" t="s">
        <v>39</v>
      </c>
      <c r="K148">
        <v>12</v>
      </c>
      <c r="L148" s="5">
        <v>6500</v>
      </c>
      <c r="M148">
        <v>3</v>
      </c>
      <c r="N148" t="s">
        <v>40</v>
      </c>
      <c r="O148" t="s">
        <v>46</v>
      </c>
      <c r="P148" t="s">
        <v>25</v>
      </c>
      <c r="Q148" s="5">
        <f>Table1[[#This Row],[Quantity]]*Table1[[#This Row],[Unit_Price]]</f>
        <v>78000</v>
      </c>
      <c r="R148" t="str">
        <f>IF(Table1[[#This Row],[Delivery_Days]]&lt;=3,"Fast",IF(Table1[[#This Row],[Delivery_Days]]&lt;=7,"Normal","Late"))</f>
        <v>Fast</v>
      </c>
    </row>
    <row r="149" spans="1:18" x14ac:dyDescent="0.35">
      <c r="A149" t="s">
        <v>224</v>
      </c>
      <c r="B149" t="str">
        <f t="shared" si="10"/>
        <v>APX1210</v>
      </c>
      <c r="C149" s="3">
        <v>45936</v>
      </c>
      <c r="D149" s="3">
        <f>IF(ISNUMBER(C149), C149, DATE(RIGHT(C149, 4), MATCH(LEFT(C149, 3), {"Jan","Feb","Mar","Apr","May","Jun","Jul","Aug","Sep","Oct","Nov","Dec"}, 0), MID(C149, 5, 2)))</f>
        <v>45936</v>
      </c>
      <c r="E149" s="3" t="str">
        <f t="shared" si="11"/>
        <v>Oct</v>
      </c>
      <c r="F149" s="3" t="str">
        <f t="shared" si="12"/>
        <v>2025</v>
      </c>
      <c r="G149" s="4">
        <f t="shared" si="13"/>
        <v>10</v>
      </c>
      <c r="H149" s="3" t="str">
        <f t="shared" si="14"/>
        <v>Q-4</v>
      </c>
      <c r="I149" t="s">
        <v>11</v>
      </c>
      <c r="J149" t="s">
        <v>32</v>
      </c>
      <c r="K149">
        <v>12</v>
      </c>
      <c r="L149" s="5">
        <v>6500</v>
      </c>
      <c r="M149">
        <v>95</v>
      </c>
      <c r="N149" t="s">
        <v>560</v>
      </c>
      <c r="O149" t="s">
        <v>46</v>
      </c>
      <c r="P149" t="s">
        <v>25</v>
      </c>
      <c r="Q149" s="5">
        <f>Table1[[#This Row],[Quantity]]*Table1[[#This Row],[Unit_Price]]</f>
        <v>78000</v>
      </c>
      <c r="R149" t="str">
        <f>IF(Table1[[#This Row],[Delivery_Days]]&lt;=3,"Fast",IF(Table1[[#This Row],[Delivery_Days]]&lt;=7,"Normal","Late"))</f>
        <v>Late</v>
      </c>
    </row>
    <row r="150" spans="1:18" x14ac:dyDescent="0.35">
      <c r="A150" t="s">
        <v>225</v>
      </c>
      <c r="B150" t="str">
        <f t="shared" si="10"/>
        <v>APX1135</v>
      </c>
      <c r="C150" s="3">
        <v>45832</v>
      </c>
      <c r="D150" s="3">
        <f>IF(ISNUMBER(C150), C150, DATE(RIGHT(C150, 4), MATCH(LEFT(C150, 3), {"Jan","Feb","Mar","Apr","May","Jun","Jul","Aug","Sep","Oct","Nov","Dec"}, 0), MID(C150, 5, 2)))</f>
        <v>45832</v>
      </c>
      <c r="E150" s="3" t="str">
        <f t="shared" si="11"/>
        <v>Jun</v>
      </c>
      <c r="F150" s="3" t="str">
        <f t="shared" si="12"/>
        <v>2025</v>
      </c>
      <c r="G150" s="4">
        <f t="shared" si="13"/>
        <v>6</v>
      </c>
      <c r="H150" s="3" t="str">
        <f t="shared" si="14"/>
        <v>Q-2</v>
      </c>
      <c r="I150" t="s">
        <v>76</v>
      </c>
      <c r="J150" t="s">
        <v>64</v>
      </c>
      <c r="K150">
        <v>30</v>
      </c>
      <c r="L150" s="5">
        <v>39745</v>
      </c>
      <c r="M150">
        <v>3</v>
      </c>
      <c r="N150" t="s">
        <v>70</v>
      </c>
      <c r="O150" t="s">
        <v>506</v>
      </c>
      <c r="P150" t="s">
        <v>25</v>
      </c>
      <c r="Q150" s="5">
        <f>Table1[[#This Row],[Quantity]]*Table1[[#This Row],[Unit_Price]]</f>
        <v>1192350</v>
      </c>
      <c r="R150" t="str">
        <f>IF(Table1[[#This Row],[Delivery_Days]]&lt;=3,"Fast",IF(Table1[[#This Row],[Delivery_Days]]&lt;=7,"Normal","Late"))</f>
        <v>Fast</v>
      </c>
    </row>
    <row r="151" spans="1:18" x14ac:dyDescent="0.35">
      <c r="A151" t="s">
        <v>181</v>
      </c>
      <c r="B151" t="str">
        <f t="shared" si="10"/>
        <v>APX1382</v>
      </c>
      <c r="C151" s="3">
        <v>46007</v>
      </c>
      <c r="D151" s="3">
        <f>IF(ISNUMBER(C151), C151, DATE(RIGHT(C151, 4), MATCH(LEFT(C151, 3), {"Jan","Feb","Mar","Apr","May","Jun","Jul","Aug","Sep","Oct","Nov","Dec"}, 0), MID(C151, 5, 2)))</f>
        <v>46007</v>
      </c>
      <c r="E151" s="3" t="str">
        <f t="shared" si="11"/>
        <v>Dec</v>
      </c>
      <c r="F151" s="3" t="str">
        <f t="shared" si="12"/>
        <v>2025</v>
      </c>
      <c r="G151" s="4">
        <f t="shared" si="13"/>
        <v>12</v>
      </c>
      <c r="H151" s="3" t="str">
        <f t="shared" si="14"/>
        <v>Q-4</v>
      </c>
      <c r="I151" t="s">
        <v>76</v>
      </c>
      <c r="J151" t="s">
        <v>39</v>
      </c>
      <c r="K151">
        <v>2500</v>
      </c>
      <c r="L151" s="5">
        <v>13165</v>
      </c>
      <c r="M151">
        <v>3</v>
      </c>
      <c r="N151" t="s">
        <v>40</v>
      </c>
      <c r="O151" t="s">
        <v>506</v>
      </c>
      <c r="P151" t="s">
        <v>25</v>
      </c>
      <c r="Q151" s="5">
        <f>Table1[[#This Row],[Quantity]]*Table1[[#This Row],[Unit_Price]]</f>
        <v>32912500</v>
      </c>
      <c r="R151" t="str">
        <f>IF(Table1[[#This Row],[Delivery_Days]]&lt;=3,"Fast",IF(Table1[[#This Row],[Delivery_Days]]&lt;=7,"Normal","Late"))</f>
        <v>Fast</v>
      </c>
    </row>
    <row r="152" spans="1:18" x14ac:dyDescent="0.35">
      <c r="A152" t="s">
        <v>227</v>
      </c>
      <c r="B152" t="str">
        <f t="shared" si="10"/>
        <v>APX1284</v>
      </c>
      <c r="C152" s="3" t="s">
        <v>228</v>
      </c>
      <c r="D152" s="3">
        <f>IF(ISNUMBER(C152), C152, DATE(RIGHT(C152, 4), MATCH(LEFT(C152, 3), {"Jan","Feb","Mar","Apr","May","Jun","Jul","Aug","Sep","Oct","Nov","Dec"}, 0), MID(C152, 5, 2)))</f>
        <v>45871</v>
      </c>
      <c r="E152" s="3" t="str">
        <f t="shared" si="11"/>
        <v>Aug</v>
      </c>
      <c r="F152" s="3" t="str">
        <f t="shared" si="12"/>
        <v>2025</v>
      </c>
      <c r="G152" s="4">
        <f t="shared" si="13"/>
        <v>8</v>
      </c>
      <c r="H152" s="3" t="str">
        <f t="shared" si="14"/>
        <v>Q-3</v>
      </c>
      <c r="I152" t="s">
        <v>76</v>
      </c>
      <c r="J152" t="s">
        <v>28</v>
      </c>
      <c r="K152">
        <v>12</v>
      </c>
      <c r="L152" s="5">
        <v>800</v>
      </c>
      <c r="M152">
        <v>3</v>
      </c>
      <c r="N152" t="s">
        <v>70</v>
      </c>
      <c r="O152" t="s">
        <v>46</v>
      </c>
      <c r="P152" t="s">
        <v>15</v>
      </c>
      <c r="Q152" s="5">
        <f>Table1[[#This Row],[Quantity]]*Table1[[#This Row],[Unit_Price]]</f>
        <v>9600</v>
      </c>
      <c r="R152" t="str">
        <f>IF(Table1[[#This Row],[Delivery_Days]]&lt;=3,"Fast",IF(Table1[[#This Row],[Delivery_Days]]&lt;=7,"Normal","Late"))</f>
        <v>Fast</v>
      </c>
    </row>
    <row r="153" spans="1:18" x14ac:dyDescent="0.35">
      <c r="A153" t="s">
        <v>229</v>
      </c>
      <c r="B153" t="str">
        <f t="shared" si="10"/>
        <v>APX1288</v>
      </c>
      <c r="C153" s="3">
        <v>45726</v>
      </c>
      <c r="D153" s="3">
        <f>IF(ISNUMBER(C153), C153, DATE(RIGHT(C153, 4), MATCH(LEFT(C153, 3), {"Jan","Feb","Mar","Apr","May","Jun","Jul","Aug","Sep","Oct","Nov","Dec"}, 0), MID(C153, 5, 2)))</f>
        <v>45726</v>
      </c>
      <c r="E153" s="3" t="str">
        <f t="shared" si="11"/>
        <v>Mar</v>
      </c>
      <c r="F153" s="3" t="str">
        <f t="shared" si="12"/>
        <v>2025</v>
      </c>
      <c r="G153" s="4">
        <f t="shared" si="13"/>
        <v>3</v>
      </c>
      <c r="H153" s="3" t="str">
        <f t="shared" si="14"/>
        <v>Q-1</v>
      </c>
      <c r="I153" t="s">
        <v>502</v>
      </c>
      <c r="J153" t="s">
        <v>64</v>
      </c>
      <c r="K153">
        <v>125</v>
      </c>
      <c r="L153" s="5">
        <v>4500</v>
      </c>
      <c r="M153">
        <v>3</v>
      </c>
      <c r="N153" t="s">
        <v>70</v>
      </c>
      <c r="O153" t="s">
        <v>46</v>
      </c>
      <c r="P153" t="s">
        <v>25</v>
      </c>
      <c r="Q153" s="5">
        <f>Table1[[#This Row],[Quantity]]*Table1[[#This Row],[Unit_Price]]</f>
        <v>562500</v>
      </c>
      <c r="R153" t="str">
        <f>IF(Table1[[#This Row],[Delivery_Days]]&lt;=3,"Fast",IF(Table1[[#This Row],[Delivery_Days]]&lt;=7,"Normal","Late"))</f>
        <v>Fast</v>
      </c>
    </row>
    <row r="154" spans="1:18" x14ac:dyDescent="0.35">
      <c r="A154">
        <v>1366</v>
      </c>
      <c r="B154" t="str">
        <f t="shared" si="10"/>
        <v>APX1366</v>
      </c>
      <c r="C154" s="3">
        <v>45745</v>
      </c>
      <c r="D154" s="3">
        <f>IF(ISNUMBER(C154), C154, DATE(RIGHT(C154, 4), MATCH(LEFT(C154, 3), {"Jan","Feb","Mar","Apr","May","Jun","Jul","Aug","Sep","Oct","Nov","Dec"}, 0), MID(C154, 5, 2)))</f>
        <v>45745</v>
      </c>
      <c r="E154" s="3" t="str">
        <f t="shared" si="11"/>
        <v>Mar</v>
      </c>
      <c r="F154" s="3" t="str">
        <f t="shared" si="12"/>
        <v>2025</v>
      </c>
      <c r="G154" s="4">
        <f t="shared" si="13"/>
        <v>3</v>
      </c>
      <c r="H154" s="3" t="str">
        <f t="shared" si="14"/>
        <v>Q-1</v>
      </c>
      <c r="I154" t="s">
        <v>76</v>
      </c>
      <c r="J154" t="s">
        <v>64</v>
      </c>
      <c r="K154">
        <v>12</v>
      </c>
      <c r="L154" s="5">
        <v>4500</v>
      </c>
      <c r="M154">
        <v>3</v>
      </c>
      <c r="N154" t="s">
        <v>504</v>
      </c>
      <c r="O154" t="s">
        <v>506</v>
      </c>
      <c r="P154" t="s">
        <v>15</v>
      </c>
      <c r="Q154" s="5">
        <f>Table1[[#This Row],[Quantity]]*Table1[[#This Row],[Unit_Price]]</f>
        <v>54000</v>
      </c>
      <c r="R154" t="str">
        <f>IF(Table1[[#This Row],[Delivery_Days]]&lt;=3,"Fast",IF(Table1[[#This Row],[Delivery_Days]]&lt;=7,"Normal","Late"))</f>
        <v>Fast</v>
      </c>
    </row>
    <row r="155" spans="1:18" x14ac:dyDescent="0.35">
      <c r="A155" t="s">
        <v>230</v>
      </c>
      <c r="B155" t="str">
        <f t="shared" si="10"/>
        <v>APX1268</v>
      </c>
      <c r="C155" s="3">
        <v>45690</v>
      </c>
      <c r="D155" s="3">
        <f>IF(ISNUMBER(C155), C155, DATE(RIGHT(C155, 4), MATCH(LEFT(C155, 3), {"Jan","Feb","Mar","Apr","May","Jun","Jul","Aug","Sep","Oct","Nov","Dec"}, 0), MID(C155, 5, 2)))</f>
        <v>45690</v>
      </c>
      <c r="E155" s="3" t="str">
        <f t="shared" si="11"/>
        <v>Feb</v>
      </c>
      <c r="F155" s="3" t="str">
        <f t="shared" si="12"/>
        <v>2025</v>
      </c>
      <c r="G155" s="4">
        <f t="shared" si="13"/>
        <v>2</v>
      </c>
      <c r="H155" s="3" t="str">
        <f t="shared" si="14"/>
        <v>Q-1</v>
      </c>
      <c r="I155" t="s">
        <v>76</v>
      </c>
      <c r="J155" t="s">
        <v>39</v>
      </c>
      <c r="K155">
        <v>30</v>
      </c>
      <c r="L155" s="5">
        <v>42700</v>
      </c>
      <c r="M155">
        <v>3</v>
      </c>
      <c r="N155" t="s">
        <v>40</v>
      </c>
      <c r="O155" t="s">
        <v>506</v>
      </c>
      <c r="P155" t="s">
        <v>25</v>
      </c>
      <c r="Q155" s="5">
        <f>Table1[[#This Row],[Quantity]]*Table1[[#This Row],[Unit_Price]]</f>
        <v>1281000</v>
      </c>
      <c r="R155" t="str">
        <f>IF(Table1[[#This Row],[Delivery_Days]]&lt;=3,"Fast",IF(Table1[[#This Row],[Delivery_Days]]&lt;=7,"Normal","Late"))</f>
        <v>Fast</v>
      </c>
    </row>
    <row r="156" spans="1:18" x14ac:dyDescent="0.35">
      <c r="A156" t="s">
        <v>231</v>
      </c>
      <c r="B156" t="str">
        <f t="shared" si="10"/>
        <v>APX1215</v>
      </c>
      <c r="C156" s="3">
        <v>45683</v>
      </c>
      <c r="D156" s="3">
        <f>IF(ISNUMBER(C156), C156, DATE(RIGHT(C156, 4), MATCH(LEFT(C156, 3), {"Jan","Feb","Mar","Apr","May","Jun","Jul","Aug","Sep","Oct","Nov","Dec"}, 0), MID(C156, 5, 2)))</f>
        <v>45683</v>
      </c>
      <c r="E156" s="3" t="str">
        <f t="shared" si="11"/>
        <v>Jan</v>
      </c>
      <c r="F156" s="3" t="str">
        <f t="shared" si="12"/>
        <v>2025</v>
      </c>
      <c r="G156" s="4">
        <f t="shared" si="13"/>
        <v>1</v>
      </c>
      <c r="H156" s="3" t="str">
        <f t="shared" si="14"/>
        <v>Q-1</v>
      </c>
      <c r="I156" t="s">
        <v>503</v>
      </c>
      <c r="J156" t="s">
        <v>64</v>
      </c>
      <c r="K156">
        <v>2500</v>
      </c>
      <c r="L156" s="5">
        <v>800</v>
      </c>
      <c r="M156">
        <v>95</v>
      </c>
      <c r="N156" t="s">
        <v>40</v>
      </c>
      <c r="O156" t="s">
        <v>506</v>
      </c>
      <c r="P156" t="s">
        <v>25</v>
      </c>
      <c r="Q156" s="5">
        <f>Table1[[#This Row],[Quantity]]*Table1[[#This Row],[Unit_Price]]</f>
        <v>2000000</v>
      </c>
      <c r="R156" t="str">
        <f>IF(Table1[[#This Row],[Delivery_Days]]&lt;=3,"Fast",IF(Table1[[#This Row],[Delivery_Days]]&lt;=7,"Normal","Late"))</f>
        <v>Late</v>
      </c>
    </row>
    <row r="157" spans="1:18" x14ac:dyDescent="0.35">
      <c r="A157" t="s">
        <v>232</v>
      </c>
      <c r="B157" t="str">
        <f t="shared" si="10"/>
        <v>APX1266</v>
      </c>
      <c r="C157" s="3">
        <v>46020</v>
      </c>
      <c r="D157" s="3">
        <f>IF(ISNUMBER(C157), C157, DATE(RIGHT(C157, 4), MATCH(LEFT(C157, 3), {"Jan","Feb","Mar","Apr","May","Jun","Jul","Aug","Sep","Oct","Nov","Dec"}, 0), MID(C157, 5, 2)))</f>
        <v>46020</v>
      </c>
      <c r="E157" s="3" t="str">
        <f t="shared" si="11"/>
        <v>Dec</v>
      </c>
      <c r="F157" s="3" t="str">
        <f t="shared" si="12"/>
        <v>2025</v>
      </c>
      <c r="G157" s="4">
        <f t="shared" si="13"/>
        <v>12</v>
      </c>
      <c r="H157" s="3" t="str">
        <f t="shared" si="14"/>
        <v>Q-4</v>
      </c>
      <c r="I157" t="s">
        <v>11</v>
      </c>
      <c r="J157" t="s">
        <v>28</v>
      </c>
      <c r="K157">
        <v>2500</v>
      </c>
      <c r="L157" s="5">
        <v>800</v>
      </c>
      <c r="M157">
        <v>8</v>
      </c>
      <c r="N157" t="s">
        <v>40</v>
      </c>
      <c r="O157" t="s">
        <v>46</v>
      </c>
      <c r="P157" t="s">
        <v>25</v>
      </c>
      <c r="Q157" s="5">
        <f>Table1[[#This Row],[Quantity]]*Table1[[#This Row],[Unit_Price]]</f>
        <v>2000000</v>
      </c>
      <c r="R157" t="str">
        <f>IF(Table1[[#This Row],[Delivery_Days]]&lt;=3,"Fast",IF(Table1[[#This Row],[Delivery_Days]]&lt;=7,"Normal","Late"))</f>
        <v>Late</v>
      </c>
    </row>
    <row r="158" spans="1:18" x14ac:dyDescent="0.35">
      <c r="A158" t="s">
        <v>16</v>
      </c>
      <c r="B158" t="str">
        <f t="shared" si="10"/>
        <v>APX1357</v>
      </c>
      <c r="C158" s="3">
        <v>45715</v>
      </c>
      <c r="D158" s="3">
        <f>IF(ISNUMBER(C158), C158, DATE(RIGHT(C158, 4), MATCH(LEFT(C158, 3), {"Jan","Feb","Mar","Apr","May","Jun","Jul","Aug","Sep","Oct","Nov","Dec"}, 0), MID(C158, 5, 2)))</f>
        <v>45715</v>
      </c>
      <c r="E158" s="3" t="str">
        <f t="shared" si="11"/>
        <v>Feb</v>
      </c>
      <c r="F158" s="3" t="str">
        <f t="shared" si="12"/>
        <v>2025</v>
      </c>
      <c r="G158" s="4">
        <f t="shared" si="13"/>
        <v>2</v>
      </c>
      <c r="H158" s="3" t="str">
        <f t="shared" si="14"/>
        <v>Q-1</v>
      </c>
      <c r="I158" t="s">
        <v>11</v>
      </c>
      <c r="J158" t="s">
        <v>89</v>
      </c>
      <c r="K158">
        <v>2500</v>
      </c>
      <c r="L158" s="5">
        <v>800</v>
      </c>
      <c r="M158">
        <v>6</v>
      </c>
      <c r="N158" t="s">
        <v>504</v>
      </c>
      <c r="O158" t="s">
        <v>506</v>
      </c>
      <c r="P158" t="s">
        <v>25</v>
      </c>
      <c r="Q158" s="5">
        <f>Table1[[#This Row],[Quantity]]*Table1[[#This Row],[Unit_Price]]</f>
        <v>2000000</v>
      </c>
      <c r="R158" t="str">
        <f>IF(Table1[[#This Row],[Delivery_Days]]&lt;=3,"Fast",IF(Table1[[#This Row],[Delivery_Days]]&lt;=7,"Normal","Late"))</f>
        <v>Normal</v>
      </c>
    </row>
    <row r="159" spans="1:18" x14ac:dyDescent="0.35">
      <c r="A159" t="s">
        <v>234</v>
      </c>
      <c r="B159" t="str">
        <f t="shared" si="10"/>
        <v>APX1380</v>
      </c>
      <c r="C159" s="3">
        <v>45826</v>
      </c>
      <c r="D159" s="3">
        <f>IF(ISNUMBER(C159), C159, DATE(RIGHT(C159, 4), MATCH(LEFT(C159, 3), {"Jan","Feb","Mar","Apr","May","Jun","Jul","Aug","Sep","Oct","Nov","Dec"}, 0), MID(C159, 5, 2)))</f>
        <v>45826</v>
      </c>
      <c r="E159" s="3" t="str">
        <f t="shared" si="11"/>
        <v>Jun</v>
      </c>
      <c r="F159" s="3" t="str">
        <f t="shared" si="12"/>
        <v>2025</v>
      </c>
      <c r="G159" s="4">
        <f t="shared" si="13"/>
        <v>6</v>
      </c>
      <c r="H159" s="3" t="str">
        <f t="shared" si="14"/>
        <v>Q-2</v>
      </c>
      <c r="I159" t="s">
        <v>510</v>
      </c>
      <c r="J159" t="s">
        <v>32</v>
      </c>
      <c r="K159">
        <v>2500</v>
      </c>
      <c r="L159" s="5">
        <v>4500</v>
      </c>
      <c r="M159">
        <v>95</v>
      </c>
      <c r="N159" t="s">
        <v>40</v>
      </c>
      <c r="O159" t="s">
        <v>14</v>
      </c>
      <c r="P159" t="s">
        <v>25</v>
      </c>
      <c r="Q159" s="5">
        <f>Table1[[#This Row],[Quantity]]*Table1[[#This Row],[Unit_Price]]</f>
        <v>11250000</v>
      </c>
      <c r="R159" t="str">
        <f>IF(Table1[[#This Row],[Delivery_Days]]&lt;=3,"Fast",IF(Table1[[#This Row],[Delivery_Days]]&lt;=7,"Normal","Late"))</f>
        <v>Late</v>
      </c>
    </row>
    <row r="160" spans="1:18" x14ac:dyDescent="0.35">
      <c r="A160" t="s">
        <v>65</v>
      </c>
      <c r="B160" t="str">
        <f t="shared" si="10"/>
        <v>APX1294</v>
      </c>
      <c r="C160" s="3">
        <v>45931</v>
      </c>
      <c r="D160" s="3">
        <f>IF(ISNUMBER(C160), C160, DATE(RIGHT(C160, 4), MATCH(LEFT(C160, 3), {"Jan","Feb","Mar","Apr","May","Jun","Jul","Aug","Sep","Oct","Nov","Dec"}, 0), MID(C160, 5, 2)))</f>
        <v>45931</v>
      </c>
      <c r="E160" s="3" t="str">
        <f t="shared" si="11"/>
        <v>Oct</v>
      </c>
      <c r="F160" s="3" t="str">
        <f t="shared" si="12"/>
        <v>2025</v>
      </c>
      <c r="G160" s="4">
        <f t="shared" si="13"/>
        <v>10</v>
      </c>
      <c r="H160" s="3" t="str">
        <f t="shared" si="14"/>
        <v>Q-4</v>
      </c>
      <c r="I160" t="s">
        <v>76</v>
      </c>
      <c r="J160" t="s">
        <v>32</v>
      </c>
      <c r="K160">
        <v>2500</v>
      </c>
      <c r="L160" s="5">
        <v>800</v>
      </c>
      <c r="M160">
        <v>3</v>
      </c>
      <c r="N160" t="s">
        <v>40</v>
      </c>
      <c r="O160" t="s">
        <v>506</v>
      </c>
      <c r="P160" t="s">
        <v>25</v>
      </c>
      <c r="Q160" s="5">
        <f>Table1[[#This Row],[Quantity]]*Table1[[#This Row],[Unit_Price]]</f>
        <v>2000000</v>
      </c>
      <c r="R160" t="str">
        <f>IF(Table1[[#This Row],[Delivery_Days]]&lt;=3,"Fast",IF(Table1[[#This Row],[Delivery_Days]]&lt;=7,"Normal","Late"))</f>
        <v>Fast</v>
      </c>
    </row>
    <row r="161" spans="1:18" x14ac:dyDescent="0.35">
      <c r="A161" t="s">
        <v>235</v>
      </c>
      <c r="B161" t="str">
        <f t="shared" si="10"/>
        <v>APX1282</v>
      </c>
      <c r="C161" s="3">
        <v>46017</v>
      </c>
      <c r="D161" s="3">
        <f>IF(ISNUMBER(C161), C161, DATE(RIGHT(C161, 4), MATCH(LEFT(C161, 3), {"Jan","Feb","Mar","Apr","May","Jun","Jul","Aug","Sep","Oct","Nov","Dec"}, 0), MID(C161, 5, 2)))</f>
        <v>46017</v>
      </c>
      <c r="E161" s="3" t="str">
        <f t="shared" si="11"/>
        <v>Dec</v>
      </c>
      <c r="F161" s="3" t="str">
        <f t="shared" si="12"/>
        <v>2025</v>
      </c>
      <c r="G161" s="4">
        <f t="shared" si="13"/>
        <v>12</v>
      </c>
      <c r="H161" s="3" t="str">
        <f t="shared" si="14"/>
        <v>Q-4</v>
      </c>
      <c r="I161" t="s">
        <v>11</v>
      </c>
      <c r="J161" t="s">
        <v>89</v>
      </c>
      <c r="K161">
        <v>2500</v>
      </c>
      <c r="L161" s="5">
        <v>850000</v>
      </c>
      <c r="M161">
        <v>4</v>
      </c>
      <c r="N161" t="s">
        <v>70</v>
      </c>
      <c r="O161" t="s">
        <v>506</v>
      </c>
      <c r="P161" t="s">
        <v>42</v>
      </c>
      <c r="Q161" s="5">
        <f>Table1[[#This Row],[Quantity]]*Table1[[#This Row],[Unit_Price]]</f>
        <v>2125000000</v>
      </c>
      <c r="R161" t="str">
        <f>IF(Table1[[#This Row],[Delivery_Days]]&lt;=3,"Fast",IF(Table1[[#This Row],[Delivery_Days]]&lt;=7,"Normal","Late"))</f>
        <v>Normal</v>
      </c>
    </row>
    <row r="162" spans="1:18" x14ac:dyDescent="0.35">
      <c r="A162" t="s">
        <v>236</v>
      </c>
      <c r="B162" t="str">
        <f t="shared" si="10"/>
        <v>APX1225</v>
      </c>
      <c r="C162" s="3">
        <v>45906</v>
      </c>
      <c r="D162" s="3">
        <f>IF(ISNUMBER(C162), C162, DATE(RIGHT(C162, 4), MATCH(LEFT(C162, 3), {"Jan","Feb","Mar","Apr","May","Jun","Jul","Aug","Sep","Oct","Nov","Dec"}, 0), MID(C162, 5, 2)))</f>
        <v>45906</v>
      </c>
      <c r="E162" s="3" t="str">
        <f t="shared" si="11"/>
        <v>Sep</v>
      </c>
      <c r="F162" s="3" t="str">
        <f t="shared" si="12"/>
        <v>2025</v>
      </c>
      <c r="G162" s="4">
        <f t="shared" si="13"/>
        <v>9</v>
      </c>
      <c r="H162" s="3" t="str">
        <f t="shared" si="14"/>
        <v>Q-4</v>
      </c>
      <c r="I162" t="s">
        <v>502</v>
      </c>
      <c r="J162" t="s">
        <v>32</v>
      </c>
      <c r="K162">
        <v>2500</v>
      </c>
      <c r="L162" s="5">
        <v>6500</v>
      </c>
      <c r="M162">
        <v>95</v>
      </c>
      <c r="N162" t="s">
        <v>40</v>
      </c>
      <c r="O162" t="s">
        <v>506</v>
      </c>
      <c r="P162" t="s">
        <v>25</v>
      </c>
      <c r="Q162" s="5">
        <f>Table1[[#This Row],[Quantity]]*Table1[[#This Row],[Unit_Price]]</f>
        <v>16250000</v>
      </c>
      <c r="R162" t="str">
        <f>IF(Table1[[#This Row],[Delivery_Days]]&lt;=3,"Fast",IF(Table1[[#This Row],[Delivery_Days]]&lt;=7,"Normal","Late"))</f>
        <v>Late</v>
      </c>
    </row>
    <row r="163" spans="1:18" x14ac:dyDescent="0.35">
      <c r="A163" t="s">
        <v>237</v>
      </c>
      <c r="B163" t="str">
        <f t="shared" si="10"/>
        <v>APX1360</v>
      </c>
      <c r="C163" s="3">
        <v>45992</v>
      </c>
      <c r="D163" s="3">
        <f>IF(ISNUMBER(C163), C163, DATE(RIGHT(C163, 4), MATCH(LEFT(C163, 3), {"Jan","Feb","Mar","Apr","May","Jun","Jul","Aug","Sep","Oct","Nov","Dec"}, 0), MID(C163, 5, 2)))</f>
        <v>45992</v>
      </c>
      <c r="E163" s="3" t="str">
        <f t="shared" si="11"/>
        <v>Dec</v>
      </c>
      <c r="F163" s="3" t="str">
        <f t="shared" si="12"/>
        <v>2025</v>
      </c>
      <c r="G163" s="4">
        <f t="shared" si="13"/>
        <v>12</v>
      </c>
      <c r="H163" s="3" t="str">
        <f t="shared" si="14"/>
        <v>Q-4</v>
      </c>
      <c r="I163" t="s">
        <v>503</v>
      </c>
      <c r="J163" t="s">
        <v>64</v>
      </c>
      <c r="K163">
        <v>136</v>
      </c>
      <c r="L163" s="5">
        <v>850000</v>
      </c>
      <c r="M163">
        <v>9</v>
      </c>
      <c r="N163" t="s">
        <v>40</v>
      </c>
      <c r="O163" t="s">
        <v>506</v>
      </c>
      <c r="P163" t="s">
        <v>25</v>
      </c>
      <c r="Q163" s="5">
        <f>Table1[[#This Row],[Quantity]]*Table1[[#This Row],[Unit_Price]]</f>
        <v>115600000</v>
      </c>
      <c r="R163" t="str">
        <f>IF(Table1[[#This Row],[Delivery_Days]]&lt;=3,"Fast",IF(Table1[[#This Row],[Delivery_Days]]&lt;=7,"Normal","Late"))</f>
        <v>Late</v>
      </c>
    </row>
    <row r="164" spans="1:18" x14ac:dyDescent="0.35">
      <c r="A164" t="s">
        <v>207</v>
      </c>
      <c r="B164" t="str">
        <f t="shared" si="10"/>
        <v>APX1199</v>
      </c>
      <c r="C164" s="3" t="s">
        <v>238</v>
      </c>
      <c r="D164" s="3">
        <f>IF(ISNUMBER(C164), C164, DATE(RIGHT(C164, 4), MATCH(LEFT(C164, 3), {"Jan","Feb","Mar","Apr","May","Jun","Jul","Aug","Sep","Oct","Nov","Dec"}, 0), MID(C164, 5, 2)))</f>
        <v>46016</v>
      </c>
      <c r="E164" s="3" t="str">
        <f t="shared" si="11"/>
        <v>Dec</v>
      </c>
      <c r="F164" s="3" t="str">
        <f t="shared" si="12"/>
        <v>2025</v>
      </c>
      <c r="G164" s="4">
        <f t="shared" si="13"/>
        <v>12</v>
      </c>
      <c r="H164" s="3" t="str">
        <f t="shared" si="14"/>
        <v>Q-4</v>
      </c>
      <c r="I164" t="s">
        <v>502</v>
      </c>
      <c r="J164" t="s">
        <v>64</v>
      </c>
      <c r="K164">
        <v>2500</v>
      </c>
      <c r="L164" s="5">
        <v>48218</v>
      </c>
      <c r="M164">
        <v>3</v>
      </c>
      <c r="N164" t="s">
        <v>40</v>
      </c>
      <c r="O164" t="s">
        <v>506</v>
      </c>
      <c r="P164" t="s">
        <v>25</v>
      </c>
      <c r="Q164" s="5">
        <f>Table1[[#This Row],[Quantity]]*Table1[[#This Row],[Unit_Price]]</f>
        <v>120545000</v>
      </c>
      <c r="R164" t="str">
        <f>IF(Table1[[#This Row],[Delivery_Days]]&lt;=3,"Fast",IF(Table1[[#This Row],[Delivery_Days]]&lt;=7,"Normal","Late"))</f>
        <v>Fast</v>
      </c>
    </row>
    <row r="165" spans="1:18" x14ac:dyDescent="0.35">
      <c r="A165" t="s">
        <v>125</v>
      </c>
      <c r="B165" t="str">
        <f t="shared" si="10"/>
        <v>APX1254</v>
      </c>
      <c r="C165" s="3">
        <v>45722</v>
      </c>
      <c r="D165" s="3">
        <f>IF(ISNUMBER(C165), C165, DATE(RIGHT(C165, 4), MATCH(LEFT(C165, 3), {"Jan","Feb","Mar","Apr","May","Jun","Jul","Aug","Sep","Oct","Nov","Dec"}, 0), MID(C165, 5, 2)))</f>
        <v>45722</v>
      </c>
      <c r="E165" s="3" t="str">
        <f t="shared" si="11"/>
        <v>Mar</v>
      </c>
      <c r="F165" s="3" t="str">
        <f t="shared" si="12"/>
        <v>2025</v>
      </c>
      <c r="G165" s="4">
        <f t="shared" si="13"/>
        <v>3</v>
      </c>
      <c r="H165" s="3" t="str">
        <f t="shared" si="14"/>
        <v>Q-1</v>
      </c>
      <c r="I165" t="s">
        <v>11</v>
      </c>
      <c r="J165" t="s">
        <v>89</v>
      </c>
      <c r="K165">
        <v>12</v>
      </c>
      <c r="L165" s="5">
        <v>4500</v>
      </c>
      <c r="M165">
        <v>5</v>
      </c>
      <c r="N165" t="s">
        <v>505</v>
      </c>
      <c r="O165" t="s">
        <v>506</v>
      </c>
      <c r="P165" t="s">
        <v>25</v>
      </c>
      <c r="Q165" s="5">
        <f>Table1[[#This Row],[Quantity]]*Table1[[#This Row],[Unit_Price]]</f>
        <v>54000</v>
      </c>
      <c r="R165" t="str">
        <f>IF(Table1[[#This Row],[Delivery_Days]]&lt;=3,"Fast",IF(Table1[[#This Row],[Delivery_Days]]&lt;=7,"Normal","Late"))</f>
        <v>Normal</v>
      </c>
    </row>
    <row r="166" spans="1:18" x14ac:dyDescent="0.35">
      <c r="A166" t="s">
        <v>239</v>
      </c>
      <c r="B166" t="str">
        <f t="shared" si="10"/>
        <v>APX1197</v>
      </c>
      <c r="C166" s="3">
        <v>45991</v>
      </c>
      <c r="D166" s="3">
        <f>IF(ISNUMBER(C166), C166, DATE(RIGHT(C166, 4), MATCH(LEFT(C166, 3), {"Jan","Feb","Mar","Apr","May","Jun","Jul","Aug","Sep","Oct","Nov","Dec"}, 0), MID(C166, 5, 2)))</f>
        <v>45991</v>
      </c>
      <c r="E166" s="3" t="str">
        <f t="shared" si="11"/>
        <v>Nov</v>
      </c>
      <c r="F166" s="3" t="str">
        <f t="shared" si="12"/>
        <v>2025</v>
      </c>
      <c r="G166" s="4">
        <f t="shared" si="13"/>
        <v>11</v>
      </c>
      <c r="H166" s="3" t="str">
        <f t="shared" si="14"/>
        <v>Q-4</v>
      </c>
      <c r="I166" t="s">
        <v>76</v>
      </c>
      <c r="J166" t="s">
        <v>32</v>
      </c>
      <c r="K166">
        <v>12</v>
      </c>
      <c r="L166" s="5">
        <v>4500</v>
      </c>
      <c r="M166">
        <v>4</v>
      </c>
      <c r="N166" t="s">
        <v>70</v>
      </c>
      <c r="O166" t="s">
        <v>506</v>
      </c>
      <c r="P166" t="s">
        <v>15</v>
      </c>
      <c r="Q166" s="5">
        <f>Table1[[#This Row],[Quantity]]*Table1[[#This Row],[Unit_Price]]</f>
        <v>54000</v>
      </c>
      <c r="R166" t="str">
        <f>IF(Table1[[#This Row],[Delivery_Days]]&lt;=3,"Fast",IF(Table1[[#This Row],[Delivery_Days]]&lt;=7,"Normal","Late"))</f>
        <v>Normal</v>
      </c>
    </row>
    <row r="167" spans="1:18" x14ac:dyDescent="0.35">
      <c r="A167" t="s">
        <v>241</v>
      </c>
      <c r="B167" t="str">
        <f t="shared" si="10"/>
        <v>APX1073</v>
      </c>
      <c r="C167" s="3">
        <v>45747</v>
      </c>
      <c r="D167" s="3">
        <f>IF(ISNUMBER(C167), C167, DATE(RIGHT(C167, 4), MATCH(LEFT(C167, 3), {"Jan","Feb","Mar","Apr","May","Jun","Jul","Aug","Sep","Oct","Nov","Dec"}, 0), MID(C167, 5, 2)))</f>
        <v>45747</v>
      </c>
      <c r="E167" s="3" t="str">
        <f t="shared" si="11"/>
        <v>Mar</v>
      </c>
      <c r="F167" s="3" t="str">
        <f t="shared" si="12"/>
        <v>2025</v>
      </c>
      <c r="G167" s="4">
        <f t="shared" si="13"/>
        <v>3</v>
      </c>
      <c r="H167" s="3" t="str">
        <f t="shared" si="14"/>
        <v>Q-1</v>
      </c>
      <c r="I167" t="s">
        <v>502</v>
      </c>
      <c r="J167" t="s">
        <v>28</v>
      </c>
      <c r="K167">
        <v>30</v>
      </c>
      <c r="L167" s="5">
        <v>6500</v>
      </c>
      <c r="M167">
        <v>3</v>
      </c>
      <c r="N167" t="s">
        <v>70</v>
      </c>
      <c r="O167" t="s">
        <v>506</v>
      </c>
      <c r="P167" t="s">
        <v>25</v>
      </c>
      <c r="Q167" s="5">
        <f>Table1[[#This Row],[Quantity]]*Table1[[#This Row],[Unit_Price]]</f>
        <v>195000</v>
      </c>
      <c r="R167" t="str">
        <f>IF(Table1[[#This Row],[Delivery_Days]]&lt;=3,"Fast",IF(Table1[[#This Row],[Delivery_Days]]&lt;=7,"Normal","Late"))</f>
        <v>Fast</v>
      </c>
    </row>
    <row r="168" spans="1:18" x14ac:dyDescent="0.35">
      <c r="A168" t="s">
        <v>242</v>
      </c>
      <c r="B168" t="str">
        <f t="shared" si="10"/>
        <v>APX1142</v>
      </c>
      <c r="C168" s="3">
        <v>46006</v>
      </c>
      <c r="D168" s="3">
        <f>IF(ISNUMBER(C168), C168, DATE(RIGHT(C168, 4), MATCH(LEFT(C168, 3), {"Jan","Feb","Mar","Apr","May","Jun","Jul","Aug","Sep","Oct","Nov","Dec"}, 0), MID(C168, 5, 2)))</f>
        <v>46006</v>
      </c>
      <c r="E168" s="3" t="str">
        <f t="shared" si="11"/>
        <v>Dec</v>
      </c>
      <c r="F168" s="3" t="str">
        <f t="shared" si="12"/>
        <v>2025</v>
      </c>
      <c r="G168" s="4">
        <f t="shared" si="13"/>
        <v>12</v>
      </c>
      <c r="H168" s="3" t="str">
        <f t="shared" si="14"/>
        <v>Q-4</v>
      </c>
      <c r="I168" t="s">
        <v>76</v>
      </c>
      <c r="J168" t="s">
        <v>89</v>
      </c>
      <c r="K168">
        <v>30</v>
      </c>
      <c r="L168" s="5">
        <v>800</v>
      </c>
      <c r="M168">
        <v>5</v>
      </c>
      <c r="N168" t="s">
        <v>40</v>
      </c>
      <c r="O168" t="s">
        <v>46</v>
      </c>
      <c r="P168" t="s">
        <v>25</v>
      </c>
      <c r="Q168" s="5">
        <f>Table1[[#This Row],[Quantity]]*Table1[[#This Row],[Unit_Price]]</f>
        <v>24000</v>
      </c>
      <c r="R168" t="str">
        <f>IF(Table1[[#This Row],[Delivery_Days]]&lt;=3,"Fast",IF(Table1[[#This Row],[Delivery_Days]]&lt;=7,"Normal","Late"))</f>
        <v>Normal</v>
      </c>
    </row>
    <row r="169" spans="1:18" x14ac:dyDescent="0.35">
      <c r="A169" t="s">
        <v>241</v>
      </c>
      <c r="B169" t="str">
        <f t="shared" si="10"/>
        <v>APX1073</v>
      </c>
      <c r="C169" s="3">
        <v>45797</v>
      </c>
      <c r="D169" s="3">
        <f>IF(ISNUMBER(C169), C169, DATE(RIGHT(C169, 4), MATCH(LEFT(C169, 3), {"Jan","Feb","Mar","Apr","May","Jun","Jul","Aug","Sep","Oct","Nov","Dec"}, 0), MID(C169, 5, 2)))</f>
        <v>45797</v>
      </c>
      <c r="E169" s="3" t="str">
        <f t="shared" si="11"/>
        <v>May</v>
      </c>
      <c r="F169" s="3" t="str">
        <f t="shared" si="12"/>
        <v>2025</v>
      </c>
      <c r="G169" s="4">
        <f t="shared" si="13"/>
        <v>5</v>
      </c>
      <c r="H169" s="3" t="str">
        <f t="shared" si="14"/>
        <v>Q-2</v>
      </c>
      <c r="I169" t="s">
        <v>76</v>
      </c>
      <c r="J169" t="s">
        <v>89</v>
      </c>
      <c r="K169">
        <v>96</v>
      </c>
      <c r="L169" s="5">
        <v>4500</v>
      </c>
      <c r="M169">
        <v>2</v>
      </c>
      <c r="N169" t="s">
        <v>40</v>
      </c>
      <c r="O169" t="s">
        <v>506</v>
      </c>
      <c r="P169" t="s">
        <v>42</v>
      </c>
      <c r="Q169" s="5">
        <f>Table1[[#This Row],[Quantity]]*Table1[[#This Row],[Unit_Price]]</f>
        <v>432000</v>
      </c>
      <c r="R169" t="str">
        <f>IF(Table1[[#This Row],[Delivery_Days]]&lt;=3,"Fast",IF(Table1[[#This Row],[Delivery_Days]]&lt;=7,"Normal","Late"))</f>
        <v>Fast</v>
      </c>
    </row>
    <row r="170" spans="1:18" x14ac:dyDescent="0.35">
      <c r="A170" t="s">
        <v>244</v>
      </c>
      <c r="B170" t="str">
        <f t="shared" si="10"/>
        <v>APX1290</v>
      </c>
      <c r="C170" s="3" t="s">
        <v>245</v>
      </c>
      <c r="D170" s="3">
        <f>IF(ISNUMBER(C170), C170, DATE(RIGHT(C170, 4), MATCH(LEFT(C170, 3), {"Jan","Feb","Mar","Apr","May","Jun","Jul","Aug","Sep","Oct","Nov","Dec"}, 0), MID(C170, 5, 2)))</f>
        <v>45830</v>
      </c>
      <c r="E170" s="3" t="str">
        <f t="shared" si="11"/>
        <v>Jun</v>
      </c>
      <c r="F170" s="3" t="str">
        <f t="shared" si="12"/>
        <v>2025</v>
      </c>
      <c r="G170" s="4">
        <f t="shared" si="13"/>
        <v>6</v>
      </c>
      <c r="H170" s="3" t="str">
        <f t="shared" si="14"/>
        <v>Q-2</v>
      </c>
      <c r="I170" t="s">
        <v>503</v>
      </c>
      <c r="J170" t="s">
        <v>89</v>
      </c>
      <c r="K170">
        <v>12</v>
      </c>
      <c r="L170" s="5">
        <v>7649</v>
      </c>
      <c r="M170">
        <v>3</v>
      </c>
      <c r="N170" t="s">
        <v>70</v>
      </c>
      <c r="O170" t="s">
        <v>506</v>
      </c>
      <c r="P170" t="s">
        <v>25</v>
      </c>
      <c r="Q170" s="5">
        <f>Table1[[#This Row],[Quantity]]*Table1[[#This Row],[Unit_Price]]</f>
        <v>91788</v>
      </c>
      <c r="R170" t="str">
        <f>IF(Table1[[#This Row],[Delivery_Days]]&lt;=3,"Fast",IF(Table1[[#This Row],[Delivery_Days]]&lt;=7,"Normal","Late"))</f>
        <v>Fast</v>
      </c>
    </row>
    <row r="171" spans="1:18" x14ac:dyDescent="0.35">
      <c r="A171" t="s">
        <v>158</v>
      </c>
      <c r="B171" t="str">
        <f t="shared" si="10"/>
        <v>APX1375</v>
      </c>
      <c r="C171" s="3">
        <v>45883</v>
      </c>
      <c r="D171" s="3">
        <f>IF(ISNUMBER(C171), C171, DATE(RIGHT(C171, 4), MATCH(LEFT(C171, 3), {"Jan","Feb","Mar","Apr","May","Jun","Jul","Aug","Sep","Oct","Nov","Dec"}, 0), MID(C171, 5, 2)))</f>
        <v>45883</v>
      </c>
      <c r="E171" s="3" t="str">
        <f t="shared" si="11"/>
        <v>Aug</v>
      </c>
      <c r="F171" s="3" t="str">
        <f t="shared" si="12"/>
        <v>2025</v>
      </c>
      <c r="G171" s="4">
        <f t="shared" si="13"/>
        <v>8</v>
      </c>
      <c r="H171" s="3" t="str">
        <f t="shared" si="14"/>
        <v>Q-3</v>
      </c>
      <c r="I171" t="s">
        <v>76</v>
      </c>
      <c r="J171" t="s">
        <v>39</v>
      </c>
      <c r="K171">
        <v>30</v>
      </c>
      <c r="L171" s="5">
        <v>6500</v>
      </c>
      <c r="M171">
        <v>3</v>
      </c>
      <c r="N171" t="s">
        <v>40</v>
      </c>
      <c r="O171" t="s">
        <v>506</v>
      </c>
      <c r="P171" t="s">
        <v>25</v>
      </c>
      <c r="Q171" s="5">
        <f>Table1[[#This Row],[Quantity]]*Table1[[#This Row],[Unit_Price]]</f>
        <v>195000</v>
      </c>
      <c r="R171" t="str">
        <f>IF(Table1[[#This Row],[Delivery_Days]]&lt;=3,"Fast",IF(Table1[[#This Row],[Delivery_Days]]&lt;=7,"Normal","Late"))</f>
        <v>Fast</v>
      </c>
    </row>
    <row r="172" spans="1:18" x14ac:dyDescent="0.35">
      <c r="A172" t="s">
        <v>246</v>
      </c>
      <c r="B172" t="str">
        <f t="shared" si="10"/>
        <v>APX1389</v>
      </c>
      <c r="C172" s="3" t="s">
        <v>247</v>
      </c>
      <c r="D172" s="3">
        <f>IF(ISNUMBER(C172), C172, DATE(RIGHT(C172, 4), MATCH(LEFT(C172, 3), {"Jan","Feb","Mar","Apr","May","Jun","Jul","Aug","Sep","Oct","Nov","Dec"}, 0), MID(C172, 5, 2)))</f>
        <v>45954</v>
      </c>
      <c r="E172" s="3" t="str">
        <f t="shared" si="11"/>
        <v>Oct</v>
      </c>
      <c r="F172" s="3" t="str">
        <f t="shared" si="12"/>
        <v>2025</v>
      </c>
      <c r="G172" s="4">
        <f t="shared" si="13"/>
        <v>10</v>
      </c>
      <c r="H172" s="3" t="str">
        <f t="shared" si="14"/>
        <v>Q-4</v>
      </c>
      <c r="I172" t="s">
        <v>76</v>
      </c>
      <c r="J172" t="s">
        <v>32</v>
      </c>
      <c r="K172">
        <v>197</v>
      </c>
      <c r="L172" s="5">
        <v>800</v>
      </c>
      <c r="M172">
        <v>95</v>
      </c>
      <c r="N172" t="s">
        <v>40</v>
      </c>
      <c r="O172" t="s">
        <v>506</v>
      </c>
      <c r="P172" t="s">
        <v>25</v>
      </c>
      <c r="Q172" s="5">
        <f>Table1[[#This Row],[Quantity]]*Table1[[#This Row],[Unit_Price]]</f>
        <v>157600</v>
      </c>
      <c r="R172" t="str">
        <f>IF(Table1[[#This Row],[Delivery_Days]]&lt;=3,"Fast",IF(Table1[[#This Row],[Delivery_Days]]&lt;=7,"Normal","Late"))</f>
        <v>Late</v>
      </c>
    </row>
    <row r="173" spans="1:18" x14ac:dyDescent="0.35">
      <c r="A173" t="s">
        <v>248</v>
      </c>
      <c r="B173" t="str">
        <f t="shared" si="10"/>
        <v>APX1353</v>
      </c>
      <c r="C173" s="3">
        <v>45921</v>
      </c>
      <c r="D173" s="3">
        <f>IF(ISNUMBER(C173), C173, DATE(RIGHT(C173, 4), MATCH(LEFT(C173, 3), {"Jan","Feb","Mar","Apr","May","Jun","Jul","Aug","Sep","Oct","Nov","Dec"}, 0), MID(C173, 5, 2)))</f>
        <v>45921</v>
      </c>
      <c r="E173" s="3" t="str">
        <f t="shared" si="11"/>
        <v>Sep</v>
      </c>
      <c r="F173" s="3" t="str">
        <f t="shared" si="12"/>
        <v>2025</v>
      </c>
      <c r="G173" s="4">
        <f t="shared" si="13"/>
        <v>9</v>
      </c>
      <c r="H173" s="3" t="str">
        <f t="shared" si="14"/>
        <v>Q-4</v>
      </c>
      <c r="I173" t="s">
        <v>11</v>
      </c>
      <c r="J173" t="s">
        <v>39</v>
      </c>
      <c r="K173">
        <v>12</v>
      </c>
      <c r="L173" s="5">
        <v>6500</v>
      </c>
      <c r="M173">
        <v>3</v>
      </c>
      <c r="N173" t="s">
        <v>70</v>
      </c>
      <c r="O173" t="s">
        <v>46</v>
      </c>
      <c r="P173" t="s">
        <v>25</v>
      </c>
      <c r="Q173" s="5">
        <f>Table1[[#This Row],[Quantity]]*Table1[[#This Row],[Unit_Price]]</f>
        <v>78000</v>
      </c>
      <c r="R173" t="str">
        <f>IF(Table1[[#This Row],[Delivery_Days]]&lt;=3,"Fast",IF(Table1[[#This Row],[Delivery_Days]]&lt;=7,"Normal","Late"))</f>
        <v>Fast</v>
      </c>
    </row>
    <row r="174" spans="1:18" x14ac:dyDescent="0.35">
      <c r="A174" t="s">
        <v>249</v>
      </c>
      <c r="B174" t="str">
        <f t="shared" si="10"/>
        <v>APX1335</v>
      </c>
      <c r="C174" s="3" t="s">
        <v>250</v>
      </c>
      <c r="D174" s="3">
        <f>IF(ISNUMBER(C174), C174, DATE(RIGHT(C174, 4), MATCH(LEFT(C174, 3), {"Jan","Feb","Mar","Apr","May","Jun","Jul","Aug","Sep","Oct","Nov","Dec"}, 0), MID(C174, 5, 2)))</f>
        <v>45718</v>
      </c>
      <c r="E174" s="3" t="str">
        <f t="shared" si="11"/>
        <v>Mar</v>
      </c>
      <c r="F174" s="3" t="str">
        <f t="shared" si="12"/>
        <v>2025</v>
      </c>
      <c r="G174" s="4">
        <f t="shared" si="13"/>
        <v>3</v>
      </c>
      <c r="H174" s="3" t="str">
        <f t="shared" si="14"/>
        <v>Q-1</v>
      </c>
      <c r="I174" t="s">
        <v>76</v>
      </c>
      <c r="J174" t="s">
        <v>73</v>
      </c>
      <c r="K174">
        <v>30</v>
      </c>
      <c r="L174" s="5">
        <v>800</v>
      </c>
      <c r="M174">
        <v>4</v>
      </c>
      <c r="N174" t="s">
        <v>504</v>
      </c>
      <c r="O174" t="s">
        <v>46</v>
      </c>
      <c r="P174" t="s">
        <v>25</v>
      </c>
      <c r="Q174" s="5">
        <f>Table1[[#This Row],[Quantity]]*Table1[[#This Row],[Unit_Price]]</f>
        <v>24000</v>
      </c>
      <c r="R174" t="str">
        <f>IF(Table1[[#This Row],[Delivery_Days]]&lt;=3,"Fast",IF(Table1[[#This Row],[Delivery_Days]]&lt;=7,"Normal","Late"))</f>
        <v>Normal</v>
      </c>
    </row>
    <row r="175" spans="1:18" x14ac:dyDescent="0.35">
      <c r="A175" t="s">
        <v>251</v>
      </c>
      <c r="B175" t="str">
        <f t="shared" si="10"/>
        <v>APX1244</v>
      </c>
      <c r="C175" s="3">
        <v>45928</v>
      </c>
      <c r="D175" s="3">
        <f>IF(ISNUMBER(C175), C175, DATE(RIGHT(C175, 4), MATCH(LEFT(C175, 3), {"Jan","Feb","Mar","Apr","May","Jun","Jul","Aug","Sep","Oct","Nov","Dec"}, 0), MID(C175, 5, 2)))</f>
        <v>45928</v>
      </c>
      <c r="E175" s="3" t="str">
        <f t="shared" si="11"/>
        <v>Sep</v>
      </c>
      <c r="F175" s="3" t="str">
        <f t="shared" si="12"/>
        <v>2025</v>
      </c>
      <c r="G175" s="4">
        <f t="shared" si="13"/>
        <v>9</v>
      </c>
      <c r="H175" s="3" t="str">
        <f t="shared" si="14"/>
        <v>Q-4</v>
      </c>
      <c r="I175" t="s">
        <v>76</v>
      </c>
      <c r="J175" t="s">
        <v>32</v>
      </c>
      <c r="K175">
        <v>2500</v>
      </c>
      <c r="L175" s="5">
        <v>800</v>
      </c>
      <c r="M175">
        <v>3</v>
      </c>
      <c r="N175" t="s">
        <v>70</v>
      </c>
      <c r="O175" t="s">
        <v>506</v>
      </c>
      <c r="P175" t="s">
        <v>25</v>
      </c>
      <c r="Q175" s="5">
        <f>Table1[[#This Row],[Quantity]]*Table1[[#This Row],[Unit_Price]]</f>
        <v>2000000</v>
      </c>
      <c r="R175" t="str">
        <f>IF(Table1[[#This Row],[Delivery_Days]]&lt;=3,"Fast",IF(Table1[[#This Row],[Delivery_Days]]&lt;=7,"Normal","Late"))</f>
        <v>Fast</v>
      </c>
    </row>
    <row r="176" spans="1:18" x14ac:dyDescent="0.35">
      <c r="A176" t="s">
        <v>252</v>
      </c>
      <c r="B176" t="str">
        <f t="shared" si="10"/>
        <v>APX1119</v>
      </c>
      <c r="C176" s="3">
        <v>45959</v>
      </c>
      <c r="D176" s="3">
        <f>IF(ISNUMBER(C176), C176, DATE(RIGHT(C176, 4), MATCH(LEFT(C176, 3), {"Jan","Feb","Mar","Apr","May","Jun","Jul","Aug","Sep","Oct","Nov","Dec"}, 0), MID(C176, 5, 2)))</f>
        <v>45959</v>
      </c>
      <c r="E176" s="3" t="str">
        <f t="shared" si="11"/>
        <v>Oct</v>
      </c>
      <c r="F176" s="3" t="str">
        <f t="shared" si="12"/>
        <v>2025</v>
      </c>
      <c r="G176" s="4">
        <f t="shared" si="13"/>
        <v>10</v>
      </c>
      <c r="H176" s="3" t="str">
        <f t="shared" si="14"/>
        <v>Q-4</v>
      </c>
      <c r="I176" t="s">
        <v>502</v>
      </c>
      <c r="J176" t="s">
        <v>32</v>
      </c>
      <c r="K176">
        <v>12</v>
      </c>
      <c r="L176" s="5">
        <v>4500</v>
      </c>
      <c r="M176">
        <v>4</v>
      </c>
      <c r="N176" t="s">
        <v>40</v>
      </c>
      <c r="O176" t="s">
        <v>14</v>
      </c>
      <c r="P176" t="s">
        <v>25</v>
      </c>
      <c r="Q176" s="5">
        <f>Table1[[#This Row],[Quantity]]*Table1[[#This Row],[Unit_Price]]</f>
        <v>54000</v>
      </c>
      <c r="R176" t="str">
        <f>IF(Table1[[#This Row],[Delivery_Days]]&lt;=3,"Fast",IF(Table1[[#This Row],[Delivery_Days]]&lt;=7,"Normal","Late"))</f>
        <v>Normal</v>
      </c>
    </row>
    <row r="177" spans="1:18" x14ac:dyDescent="0.35">
      <c r="A177" t="s">
        <v>253</v>
      </c>
      <c r="B177" t="str">
        <f t="shared" si="10"/>
        <v>APX1291</v>
      </c>
      <c r="C177" s="3">
        <v>46021</v>
      </c>
      <c r="D177" s="3">
        <f>IF(ISNUMBER(C177), C177, DATE(RIGHT(C177, 4), MATCH(LEFT(C177, 3), {"Jan","Feb","Mar","Apr","May","Jun","Jul","Aug","Sep","Oct","Nov","Dec"}, 0), MID(C177, 5, 2)))</f>
        <v>46021</v>
      </c>
      <c r="E177" s="3" t="str">
        <f t="shared" si="11"/>
        <v>Dec</v>
      </c>
      <c r="F177" s="3" t="str">
        <f t="shared" si="12"/>
        <v>2025</v>
      </c>
      <c r="G177" s="4">
        <f t="shared" si="13"/>
        <v>12</v>
      </c>
      <c r="H177" s="3" t="str">
        <f t="shared" si="14"/>
        <v>Q-4</v>
      </c>
      <c r="I177" t="s">
        <v>11</v>
      </c>
      <c r="J177" t="s">
        <v>32</v>
      </c>
      <c r="K177">
        <v>176</v>
      </c>
      <c r="L177" s="5">
        <v>800</v>
      </c>
      <c r="M177">
        <v>1</v>
      </c>
      <c r="N177" t="s">
        <v>70</v>
      </c>
      <c r="O177" t="s">
        <v>506</v>
      </c>
      <c r="P177" t="s">
        <v>42</v>
      </c>
      <c r="Q177" s="5">
        <f>Table1[[#This Row],[Quantity]]*Table1[[#This Row],[Unit_Price]]</f>
        <v>140800</v>
      </c>
      <c r="R177" t="str">
        <f>IF(Table1[[#This Row],[Delivery_Days]]&lt;=3,"Fast",IF(Table1[[#This Row],[Delivery_Days]]&lt;=7,"Normal","Late"))</f>
        <v>Fast</v>
      </c>
    </row>
    <row r="178" spans="1:18" x14ac:dyDescent="0.35">
      <c r="A178" t="s">
        <v>254</v>
      </c>
      <c r="B178" t="str">
        <f t="shared" si="10"/>
        <v>APX1039</v>
      </c>
      <c r="C178" s="3">
        <v>45912</v>
      </c>
      <c r="D178" s="3">
        <f>IF(ISNUMBER(C178), C178, DATE(RIGHT(C178, 4), MATCH(LEFT(C178, 3), {"Jan","Feb","Mar","Apr","May","Jun","Jul","Aug","Sep","Oct","Nov","Dec"}, 0), MID(C178, 5, 2)))</f>
        <v>45912</v>
      </c>
      <c r="E178" s="3" t="str">
        <f t="shared" si="11"/>
        <v>Sep</v>
      </c>
      <c r="F178" s="3" t="str">
        <f t="shared" si="12"/>
        <v>2025</v>
      </c>
      <c r="G178" s="4">
        <f t="shared" si="13"/>
        <v>9</v>
      </c>
      <c r="H178" s="3" t="str">
        <f t="shared" si="14"/>
        <v>Q-4</v>
      </c>
      <c r="I178" t="s">
        <v>76</v>
      </c>
      <c r="J178" t="s">
        <v>64</v>
      </c>
      <c r="K178">
        <v>2500</v>
      </c>
      <c r="L178" s="5">
        <v>800</v>
      </c>
      <c r="M178">
        <v>95</v>
      </c>
      <c r="N178" t="s">
        <v>504</v>
      </c>
      <c r="O178" t="s">
        <v>46</v>
      </c>
      <c r="P178" t="s">
        <v>74</v>
      </c>
      <c r="Q178" s="5">
        <f>Table1[[#This Row],[Quantity]]*Table1[[#This Row],[Unit_Price]]</f>
        <v>2000000</v>
      </c>
      <c r="R178" t="str">
        <f>IF(Table1[[#This Row],[Delivery_Days]]&lt;=3,"Fast",IF(Table1[[#This Row],[Delivery_Days]]&lt;=7,"Normal","Late"))</f>
        <v>Late</v>
      </c>
    </row>
    <row r="179" spans="1:18" x14ac:dyDescent="0.35">
      <c r="A179" t="s">
        <v>255</v>
      </c>
      <c r="B179" t="str">
        <f t="shared" si="10"/>
        <v>APX1136</v>
      </c>
      <c r="C179" s="3">
        <v>46015</v>
      </c>
      <c r="D179" s="3">
        <f>IF(ISNUMBER(C179), C179, DATE(RIGHT(C179, 4), MATCH(LEFT(C179, 3), {"Jan","Feb","Mar","Apr","May","Jun","Jul","Aug","Sep","Oct","Nov","Dec"}, 0), MID(C179, 5, 2)))</f>
        <v>46015</v>
      </c>
      <c r="E179" s="3" t="str">
        <f t="shared" si="11"/>
        <v>Dec</v>
      </c>
      <c r="F179" s="3" t="str">
        <f t="shared" si="12"/>
        <v>2025</v>
      </c>
      <c r="G179" s="4">
        <f t="shared" si="13"/>
        <v>12</v>
      </c>
      <c r="H179" s="3" t="str">
        <f t="shared" si="14"/>
        <v>Q-4</v>
      </c>
      <c r="I179" t="s">
        <v>503</v>
      </c>
      <c r="J179" t="s">
        <v>28</v>
      </c>
      <c r="K179">
        <v>117</v>
      </c>
      <c r="L179" s="5">
        <v>800</v>
      </c>
      <c r="M179">
        <v>3</v>
      </c>
      <c r="N179" t="s">
        <v>40</v>
      </c>
      <c r="O179" t="s">
        <v>506</v>
      </c>
      <c r="P179" t="s">
        <v>25</v>
      </c>
      <c r="Q179" s="5">
        <f>Table1[[#This Row],[Quantity]]*Table1[[#This Row],[Unit_Price]]</f>
        <v>93600</v>
      </c>
      <c r="R179" t="str">
        <f>IF(Table1[[#This Row],[Delivery_Days]]&lt;=3,"Fast",IF(Table1[[#This Row],[Delivery_Days]]&lt;=7,"Normal","Late"))</f>
        <v>Fast</v>
      </c>
    </row>
    <row r="180" spans="1:18" x14ac:dyDescent="0.35">
      <c r="A180" t="s">
        <v>219</v>
      </c>
      <c r="B180" t="str">
        <f t="shared" si="10"/>
        <v>APX1009</v>
      </c>
      <c r="C180" s="3" t="s">
        <v>256</v>
      </c>
      <c r="D180" s="3">
        <f>IF(ISNUMBER(C180), C180, DATE(RIGHT(C180, 4), MATCH(LEFT(C180, 3), {"Jan","Feb","Mar","Apr","May","Jun","Jul","Aug","Sep","Oct","Nov","Dec"}, 0), MID(C180, 5, 2)))</f>
        <v>45905</v>
      </c>
      <c r="E180" s="3" t="str">
        <f t="shared" si="11"/>
        <v>Sep</v>
      </c>
      <c r="F180" s="3" t="str">
        <f t="shared" si="12"/>
        <v>2025</v>
      </c>
      <c r="G180" s="4">
        <f t="shared" si="13"/>
        <v>9</v>
      </c>
      <c r="H180" s="3" t="str">
        <f t="shared" si="14"/>
        <v>Q-4</v>
      </c>
      <c r="I180" t="s">
        <v>503</v>
      </c>
      <c r="J180" t="s">
        <v>64</v>
      </c>
      <c r="K180">
        <v>2500</v>
      </c>
      <c r="L180" s="5">
        <v>850000</v>
      </c>
      <c r="M180">
        <v>10</v>
      </c>
      <c r="N180" t="s">
        <v>504</v>
      </c>
      <c r="O180" t="s">
        <v>506</v>
      </c>
      <c r="P180" t="s">
        <v>25</v>
      </c>
      <c r="Q180" s="5">
        <f>Table1[[#This Row],[Quantity]]*Table1[[#This Row],[Unit_Price]]</f>
        <v>2125000000</v>
      </c>
      <c r="R180" t="str">
        <f>IF(Table1[[#This Row],[Delivery_Days]]&lt;=3,"Fast",IF(Table1[[#This Row],[Delivery_Days]]&lt;=7,"Normal","Late"))</f>
        <v>Late</v>
      </c>
    </row>
    <row r="181" spans="1:18" x14ac:dyDescent="0.35">
      <c r="A181" t="s">
        <v>257</v>
      </c>
      <c r="B181" t="str">
        <f t="shared" si="10"/>
        <v>APX1214</v>
      </c>
      <c r="C181" s="3">
        <v>45660</v>
      </c>
      <c r="D181" s="3">
        <f>IF(ISNUMBER(C181), C181, DATE(RIGHT(C181, 4), MATCH(LEFT(C181, 3), {"Jan","Feb","Mar","Apr","May","Jun","Jul","Aug","Sep","Oct","Nov","Dec"}, 0), MID(C181, 5, 2)))</f>
        <v>45660</v>
      </c>
      <c r="E181" s="3" t="str">
        <f t="shared" si="11"/>
        <v>Jan</v>
      </c>
      <c r="F181" s="3" t="str">
        <f t="shared" si="12"/>
        <v>2025</v>
      </c>
      <c r="G181" s="4">
        <f t="shared" si="13"/>
        <v>1</v>
      </c>
      <c r="H181" s="3" t="str">
        <f t="shared" si="14"/>
        <v>Q-1</v>
      </c>
      <c r="I181" t="s">
        <v>503</v>
      </c>
      <c r="J181" t="s">
        <v>89</v>
      </c>
      <c r="K181">
        <v>33</v>
      </c>
      <c r="L181" s="5">
        <v>800</v>
      </c>
      <c r="M181">
        <v>3</v>
      </c>
      <c r="N181" t="s">
        <v>40</v>
      </c>
      <c r="O181" t="s">
        <v>14</v>
      </c>
      <c r="P181" t="s">
        <v>25</v>
      </c>
      <c r="Q181" s="5">
        <f>Table1[[#This Row],[Quantity]]*Table1[[#This Row],[Unit_Price]]</f>
        <v>26400</v>
      </c>
      <c r="R181" t="str">
        <f>IF(Table1[[#This Row],[Delivery_Days]]&lt;=3,"Fast",IF(Table1[[#This Row],[Delivery_Days]]&lt;=7,"Normal","Late"))</f>
        <v>Fast</v>
      </c>
    </row>
    <row r="182" spans="1:18" x14ac:dyDescent="0.35">
      <c r="A182" t="s">
        <v>258</v>
      </c>
      <c r="B182" t="str">
        <f t="shared" si="10"/>
        <v>APX1157</v>
      </c>
      <c r="C182" s="3" t="s">
        <v>259</v>
      </c>
      <c r="D182" s="3">
        <f>IF(ISNUMBER(C182), C182, DATE(RIGHT(C182, 4), MATCH(LEFT(C182, 3), {"Jan","Feb","Mar","Apr","May","Jun","Jul","Aug","Sep","Oct","Nov","Dec"}, 0), MID(C182, 5, 2)))</f>
        <v>45869</v>
      </c>
      <c r="E182" s="3" t="str">
        <f t="shared" si="11"/>
        <v>Jul</v>
      </c>
      <c r="F182" s="3" t="str">
        <f t="shared" si="12"/>
        <v>2025</v>
      </c>
      <c r="G182" s="4">
        <f t="shared" si="13"/>
        <v>7</v>
      </c>
      <c r="H182" s="3" t="str">
        <f t="shared" si="14"/>
        <v>Q-3</v>
      </c>
      <c r="I182" t="s">
        <v>17</v>
      </c>
      <c r="J182" t="s">
        <v>32</v>
      </c>
      <c r="K182">
        <v>56</v>
      </c>
      <c r="L182" s="5">
        <v>4500</v>
      </c>
      <c r="M182">
        <v>9</v>
      </c>
      <c r="N182" t="s">
        <v>40</v>
      </c>
      <c r="O182" t="s">
        <v>14</v>
      </c>
      <c r="P182" t="s">
        <v>42</v>
      </c>
      <c r="Q182" s="5">
        <f>Table1[[#This Row],[Quantity]]*Table1[[#This Row],[Unit_Price]]</f>
        <v>252000</v>
      </c>
      <c r="R182" t="str">
        <f>IF(Table1[[#This Row],[Delivery_Days]]&lt;=3,"Fast",IF(Table1[[#This Row],[Delivery_Days]]&lt;=7,"Normal","Late"))</f>
        <v>Late</v>
      </c>
    </row>
    <row r="183" spans="1:18" x14ac:dyDescent="0.35">
      <c r="A183" t="s">
        <v>260</v>
      </c>
      <c r="B183" t="str">
        <f t="shared" si="10"/>
        <v>APX1129</v>
      </c>
      <c r="C183" s="3">
        <v>45962</v>
      </c>
      <c r="D183" s="3">
        <f>IF(ISNUMBER(C183), C183, DATE(RIGHT(C183, 4), MATCH(LEFT(C183, 3), {"Jan","Feb","Mar","Apr","May","Jun","Jul","Aug","Sep","Oct","Nov","Dec"}, 0), MID(C183, 5, 2)))</f>
        <v>45962</v>
      </c>
      <c r="E183" s="3" t="str">
        <f t="shared" si="11"/>
        <v>Nov</v>
      </c>
      <c r="F183" s="3" t="str">
        <f t="shared" si="12"/>
        <v>2025</v>
      </c>
      <c r="G183" s="4">
        <f t="shared" si="13"/>
        <v>11</v>
      </c>
      <c r="H183" s="3" t="str">
        <f t="shared" si="14"/>
        <v>Q-4</v>
      </c>
      <c r="I183" t="s">
        <v>76</v>
      </c>
      <c r="J183" t="s">
        <v>39</v>
      </c>
      <c r="K183">
        <v>2500</v>
      </c>
      <c r="L183" s="5">
        <v>850000</v>
      </c>
      <c r="M183">
        <v>95</v>
      </c>
      <c r="N183" t="s">
        <v>504</v>
      </c>
      <c r="O183" t="s">
        <v>506</v>
      </c>
      <c r="P183" t="s">
        <v>25</v>
      </c>
      <c r="Q183" s="5">
        <f>Table1[[#This Row],[Quantity]]*Table1[[#This Row],[Unit_Price]]</f>
        <v>2125000000</v>
      </c>
      <c r="R183" t="str">
        <f>IF(Table1[[#This Row],[Delivery_Days]]&lt;=3,"Fast",IF(Table1[[#This Row],[Delivery_Days]]&lt;=7,"Normal","Late"))</f>
        <v>Late</v>
      </c>
    </row>
    <row r="184" spans="1:18" x14ac:dyDescent="0.35">
      <c r="A184" t="s">
        <v>261</v>
      </c>
      <c r="B184" t="str">
        <f t="shared" si="10"/>
        <v>APX1069</v>
      </c>
      <c r="C184" s="3" t="s">
        <v>86</v>
      </c>
      <c r="D184" s="3">
        <f>IF(ISNUMBER(C184), C184, DATE(RIGHT(C184, 4), MATCH(LEFT(C184, 3), {"Jan","Feb","Mar","Apr","May","Jun","Jul","Aug","Sep","Oct","Nov","Dec"}, 0), MID(C184, 5, 2)))</f>
        <v>45974</v>
      </c>
      <c r="E184" s="3" t="str">
        <f t="shared" si="11"/>
        <v>Nov</v>
      </c>
      <c r="F184" s="3" t="str">
        <f t="shared" si="12"/>
        <v>2025</v>
      </c>
      <c r="G184" s="4">
        <f t="shared" si="13"/>
        <v>11</v>
      </c>
      <c r="H184" s="3" t="str">
        <f t="shared" si="14"/>
        <v>Q-4</v>
      </c>
      <c r="I184" t="s">
        <v>510</v>
      </c>
      <c r="J184" t="s">
        <v>73</v>
      </c>
      <c r="K184">
        <v>12</v>
      </c>
      <c r="L184" s="5">
        <v>4500</v>
      </c>
      <c r="M184">
        <v>95</v>
      </c>
      <c r="N184" t="s">
        <v>40</v>
      </c>
      <c r="O184" t="s">
        <v>506</v>
      </c>
      <c r="P184" t="s">
        <v>25</v>
      </c>
      <c r="Q184" s="5">
        <f>Table1[[#This Row],[Quantity]]*Table1[[#This Row],[Unit_Price]]</f>
        <v>54000</v>
      </c>
      <c r="R184" t="str">
        <f>IF(Table1[[#This Row],[Delivery_Days]]&lt;=3,"Fast",IF(Table1[[#This Row],[Delivery_Days]]&lt;=7,"Normal","Late"))</f>
        <v>Late</v>
      </c>
    </row>
    <row r="185" spans="1:18" x14ac:dyDescent="0.35">
      <c r="A185" t="s">
        <v>79</v>
      </c>
      <c r="B185" t="str">
        <f t="shared" si="10"/>
        <v>APX1393</v>
      </c>
      <c r="C185" s="3">
        <v>46012</v>
      </c>
      <c r="D185" s="3">
        <f>IF(ISNUMBER(C185), C185, DATE(RIGHT(C185, 4), MATCH(LEFT(C185, 3), {"Jan","Feb","Mar","Apr","May","Jun","Jul","Aug","Sep","Oct","Nov","Dec"}, 0), MID(C185, 5, 2)))</f>
        <v>46012</v>
      </c>
      <c r="E185" s="3" t="str">
        <f t="shared" si="11"/>
        <v>Dec</v>
      </c>
      <c r="F185" s="3" t="str">
        <f t="shared" si="12"/>
        <v>2025</v>
      </c>
      <c r="G185" s="4">
        <f t="shared" si="13"/>
        <v>12</v>
      </c>
      <c r="H185" s="3" t="str">
        <f t="shared" si="14"/>
        <v>Q-4</v>
      </c>
      <c r="I185" t="s">
        <v>76</v>
      </c>
      <c r="J185" t="s">
        <v>32</v>
      </c>
      <c r="K185">
        <v>30</v>
      </c>
      <c r="L185" s="5">
        <v>850000</v>
      </c>
      <c r="M185">
        <v>3</v>
      </c>
      <c r="N185" t="s">
        <v>560</v>
      </c>
      <c r="O185" t="s">
        <v>506</v>
      </c>
      <c r="P185" t="s">
        <v>25</v>
      </c>
      <c r="Q185" s="5">
        <f>Table1[[#This Row],[Quantity]]*Table1[[#This Row],[Unit_Price]]</f>
        <v>25500000</v>
      </c>
      <c r="R185" t="str">
        <f>IF(Table1[[#This Row],[Delivery_Days]]&lt;=3,"Fast",IF(Table1[[#This Row],[Delivery_Days]]&lt;=7,"Normal","Late"))</f>
        <v>Fast</v>
      </c>
    </row>
    <row r="186" spans="1:18" x14ac:dyDescent="0.35">
      <c r="A186" t="s">
        <v>119</v>
      </c>
      <c r="B186" t="str">
        <f t="shared" si="10"/>
        <v>APX1423</v>
      </c>
      <c r="C186" s="3" t="s">
        <v>262</v>
      </c>
      <c r="D186" s="3">
        <f>IF(ISNUMBER(C186), C186, DATE(RIGHT(C186, 4), MATCH(LEFT(C186, 3), {"Jan","Feb","Mar","Apr","May","Jun","Jul","Aug","Sep","Oct","Nov","Dec"}, 0), MID(C186, 5, 2)))</f>
        <v>45896</v>
      </c>
      <c r="E186" s="3" t="str">
        <f t="shared" si="11"/>
        <v>Aug</v>
      </c>
      <c r="F186" s="3" t="str">
        <f t="shared" si="12"/>
        <v>2025</v>
      </c>
      <c r="G186" s="4">
        <f t="shared" si="13"/>
        <v>8</v>
      </c>
      <c r="H186" s="3" t="str">
        <f t="shared" si="14"/>
        <v>Q-3</v>
      </c>
      <c r="I186" t="s">
        <v>503</v>
      </c>
      <c r="J186" t="s">
        <v>73</v>
      </c>
      <c r="K186">
        <v>12</v>
      </c>
      <c r="L186" s="5">
        <v>9708</v>
      </c>
      <c r="M186">
        <v>95</v>
      </c>
      <c r="N186" t="s">
        <v>504</v>
      </c>
      <c r="O186" t="s">
        <v>506</v>
      </c>
      <c r="P186" t="s">
        <v>25</v>
      </c>
      <c r="Q186" s="5">
        <f>Table1[[#This Row],[Quantity]]*Table1[[#This Row],[Unit_Price]]</f>
        <v>116496</v>
      </c>
      <c r="R186" t="str">
        <f>IF(Table1[[#This Row],[Delivery_Days]]&lt;=3,"Fast",IF(Table1[[#This Row],[Delivery_Days]]&lt;=7,"Normal","Late"))</f>
        <v>Late</v>
      </c>
    </row>
    <row r="187" spans="1:18" x14ac:dyDescent="0.35">
      <c r="A187" t="s">
        <v>160</v>
      </c>
      <c r="B187" t="str">
        <f t="shared" si="10"/>
        <v>APX1112</v>
      </c>
      <c r="C187" s="3">
        <v>45903</v>
      </c>
      <c r="D187" s="3">
        <f>IF(ISNUMBER(C187), C187, DATE(RIGHT(C187, 4), MATCH(LEFT(C187, 3), {"Jan","Feb","Mar","Apr","May","Jun","Jul","Aug","Sep","Oct","Nov","Dec"}, 0), MID(C187, 5, 2)))</f>
        <v>45903</v>
      </c>
      <c r="E187" s="3" t="str">
        <f t="shared" si="11"/>
        <v>Sep</v>
      </c>
      <c r="F187" s="3" t="str">
        <f t="shared" si="12"/>
        <v>2025</v>
      </c>
      <c r="G187" s="4">
        <f t="shared" si="13"/>
        <v>9</v>
      </c>
      <c r="H187" s="3" t="str">
        <f t="shared" si="14"/>
        <v>Q-4</v>
      </c>
      <c r="I187" t="s">
        <v>76</v>
      </c>
      <c r="J187" t="s">
        <v>73</v>
      </c>
      <c r="K187">
        <v>12</v>
      </c>
      <c r="L187" s="5">
        <v>800</v>
      </c>
      <c r="M187">
        <v>3</v>
      </c>
      <c r="N187" t="s">
        <v>40</v>
      </c>
      <c r="O187" t="s">
        <v>46</v>
      </c>
      <c r="P187" t="s">
        <v>25</v>
      </c>
      <c r="Q187" s="5">
        <f>Table1[[#This Row],[Quantity]]*Table1[[#This Row],[Unit_Price]]</f>
        <v>9600</v>
      </c>
      <c r="R187" t="str">
        <f>IF(Table1[[#This Row],[Delivery_Days]]&lt;=3,"Fast",IF(Table1[[#This Row],[Delivery_Days]]&lt;=7,"Normal","Late"))</f>
        <v>Fast</v>
      </c>
    </row>
    <row r="188" spans="1:18" x14ac:dyDescent="0.35">
      <c r="A188" t="s">
        <v>263</v>
      </c>
      <c r="B188" t="str">
        <f t="shared" si="10"/>
        <v>APX1365</v>
      </c>
      <c r="C188" s="3">
        <v>45844</v>
      </c>
      <c r="D188" s="3">
        <f>IF(ISNUMBER(C188), C188, DATE(RIGHT(C188, 4), MATCH(LEFT(C188, 3), {"Jan","Feb","Mar","Apr","May","Jun","Jul","Aug","Sep","Oct","Nov","Dec"}, 0), MID(C188, 5, 2)))</f>
        <v>45844</v>
      </c>
      <c r="E188" s="3" t="str">
        <f t="shared" si="11"/>
        <v>Jul</v>
      </c>
      <c r="F188" s="3" t="str">
        <f t="shared" si="12"/>
        <v>2025</v>
      </c>
      <c r="G188" s="4">
        <f t="shared" si="13"/>
        <v>7</v>
      </c>
      <c r="H188" s="3" t="str">
        <f t="shared" si="14"/>
        <v>Q-3</v>
      </c>
      <c r="I188" t="s">
        <v>510</v>
      </c>
      <c r="J188" t="s">
        <v>89</v>
      </c>
      <c r="K188">
        <v>30</v>
      </c>
      <c r="L188" s="5">
        <v>4500</v>
      </c>
      <c r="M188">
        <v>95</v>
      </c>
      <c r="N188" t="s">
        <v>70</v>
      </c>
      <c r="O188" t="s">
        <v>14</v>
      </c>
      <c r="P188" t="s">
        <v>74</v>
      </c>
      <c r="Q188" s="5">
        <f>Table1[[#This Row],[Quantity]]*Table1[[#This Row],[Unit_Price]]</f>
        <v>135000</v>
      </c>
      <c r="R188" t="str">
        <f>IF(Table1[[#This Row],[Delivery_Days]]&lt;=3,"Fast",IF(Table1[[#This Row],[Delivery_Days]]&lt;=7,"Normal","Late"))</f>
        <v>Late</v>
      </c>
    </row>
    <row r="189" spans="1:18" x14ac:dyDescent="0.35">
      <c r="A189">
        <v>1313</v>
      </c>
      <c r="B189" t="str">
        <f t="shared" si="10"/>
        <v>APX1313</v>
      </c>
      <c r="C189" s="3" t="s">
        <v>264</v>
      </c>
      <c r="D189" s="3">
        <f>IF(ISNUMBER(C189), C189, DATE(RIGHT(C189, 4), MATCH(LEFT(C189, 3), {"Jan","Feb","Mar","Apr","May","Jun","Jul","Aug","Sep","Oct","Nov","Dec"}, 0), MID(C189, 5, 2)))</f>
        <v>45660</v>
      </c>
      <c r="E189" s="3" t="str">
        <f t="shared" si="11"/>
        <v>Jan</v>
      </c>
      <c r="F189" s="3" t="str">
        <f t="shared" si="12"/>
        <v>2025</v>
      </c>
      <c r="G189" s="4">
        <f t="shared" si="13"/>
        <v>1</v>
      </c>
      <c r="H189" s="3" t="str">
        <f t="shared" si="14"/>
        <v>Q-1</v>
      </c>
      <c r="I189" t="s">
        <v>76</v>
      </c>
      <c r="J189" t="s">
        <v>32</v>
      </c>
      <c r="K189">
        <v>2500</v>
      </c>
      <c r="L189" s="5">
        <v>6500</v>
      </c>
      <c r="M189">
        <v>10</v>
      </c>
      <c r="N189" t="s">
        <v>505</v>
      </c>
      <c r="O189" t="s">
        <v>506</v>
      </c>
      <c r="P189" t="s">
        <v>25</v>
      </c>
      <c r="Q189" s="5">
        <f>Table1[[#This Row],[Quantity]]*Table1[[#This Row],[Unit_Price]]</f>
        <v>16250000</v>
      </c>
      <c r="R189" t="str">
        <f>IF(Table1[[#This Row],[Delivery_Days]]&lt;=3,"Fast",IF(Table1[[#This Row],[Delivery_Days]]&lt;=7,"Normal","Late"))</f>
        <v>Late</v>
      </c>
    </row>
    <row r="190" spans="1:18" x14ac:dyDescent="0.35">
      <c r="A190" t="s">
        <v>265</v>
      </c>
      <c r="B190" t="str">
        <f t="shared" si="10"/>
        <v>APX1109</v>
      </c>
      <c r="C190" s="3" t="s">
        <v>266</v>
      </c>
      <c r="D190" s="3">
        <f>IF(ISNUMBER(C190), C190, DATE(RIGHT(C190, 4), MATCH(LEFT(C190, 3), {"Jan","Feb","Mar","Apr","May","Jun","Jul","Aug","Sep","Oct","Nov","Dec"}, 0), MID(C190, 5, 2)))</f>
        <v>46010</v>
      </c>
      <c r="E190" s="3" t="str">
        <f t="shared" si="11"/>
        <v>Dec</v>
      </c>
      <c r="F190" s="3" t="str">
        <f t="shared" si="12"/>
        <v>2025</v>
      </c>
      <c r="G190" s="4">
        <f t="shared" si="13"/>
        <v>12</v>
      </c>
      <c r="H190" s="3" t="str">
        <f t="shared" si="14"/>
        <v>Q-4</v>
      </c>
      <c r="I190" t="s">
        <v>503</v>
      </c>
      <c r="J190" t="s">
        <v>39</v>
      </c>
      <c r="K190">
        <v>2500</v>
      </c>
      <c r="L190" s="5">
        <v>850000</v>
      </c>
      <c r="M190">
        <v>3</v>
      </c>
      <c r="N190" t="s">
        <v>504</v>
      </c>
      <c r="O190" t="s">
        <v>506</v>
      </c>
      <c r="P190" t="s">
        <v>25</v>
      </c>
      <c r="Q190" s="5">
        <f>Table1[[#This Row],[Quantity]]*Table1[[#This Row],[Unit_Price]]</f>
        <v>2125000000</v>
      </c>
      <c r="R190" t="str">
        <f>IF(Table1[[#This Row],[Delivery_Days]]&lt;=3,"Fast",IF(Table1[[#This Row],[Delivery_Days]]&lt;=7,"Normal","Late"))</f>
        <v>Fast</v>
      </c>
    </row>
    <row r="191" spans="1:18" x14ac:dyDescent="0.35">
      <c r="A191" t="s">
        <v>124</v>
      </c>
      <c r="B191" t="str">
        <f t="shared" si="10"/>
        <v>APX1105</v>
      </c>
      <c r="C191" s="3">
        <v>46005</v>
      </c>
      <c r="D191" s="3">
        <f>IF(ISNUMBER(C191), C191, DATE(RIGHT(C191, 4), MATCH(LEFT(C191, 3), {"Jan","Feb","Mar","Apr","May","Jun","Jul","Aug","Sep","Oct","Nov","Dec"}, 0), MID(C191, 5, 2)))</f>
        <v>46005</v>
      </c>
      <c r="E191" s="3" t="str">
        <f t="shared" si="11"/>
        <v>Dec</v>
      </c>
      <c r="F191" s="3" t="str">
        <f t="shared" si="12"/>
        <v>2025</v>
      </c>
      <c r="G191" s="4">
        <f t="shared" si="13"/>
        <v>12</v>
      </c>
      <c r="H191" s="3" t="str">
        <f t="shared" si="14"/>
        <v>Q-4</v>
      </c>
      <c r="I191" t="s">
        <v>76</v>
      </c>
      <c r="J191" t="s">
        <v>64</v>
      </c>
      <c r="K191">
        <v>12</v>
      </c>
      <c r="L191" s="5">
        <v>14541</v>
      </c>
      <c r="M191">
        <v>3</v>
      </c>
      <c r="N191" t="s">
        <v>560</v>
      </c>
      <c r="O191" t="s">
        <v>506</v>
      </c>
      <c r="P191" t="s">
        <v>25</v>
      </c>
      <c r="Q191" s="5">
        <f>Table1[[#This Row],[Quantity]]*Table1[[#This Row],[Unit_Price]]</f>
        <v>174492</v>
      </c>
      <c r="R191" t="str">
        <f>IF(Table1[[#This Row],[Delivery_Days]]&lt;=3,"Fast",IF(Table1[[#This Row],[Delivery_Days]]&lt;=7,"Normal","Late"))</f>
        <v>Fast</v>
      </c>
    </row>
    <row r="192" spans="1:18" x14ac:dyDescent="0.35">
      <c r="A192" t="s">
        <v>159</v>
      </c>
      <c r="B192" t="str">
        <f t="shared" si="10"/>
        <v>APX1281</v>
      </c>
      <c r="C192" s="3">
        <v>45945</v>
      </c>
      <c r="D192" s="3">
        <f>IF(ISNUMBER(C192), C192, DATE(RIGHT(C192, 4), MATCH(LEFT(C192, 3), {"Jan","Feb","Mar","Apr","May","Jun","Jul","Aug","Sep","Oct","Nov","Dec"}, 0), MID(C192, 5, 2)))</f>
        <v>45945</v>
      </c>
      <c r="E192" s="3" t="str">
        <f t="shared" si="11"/>
        <v>Oct</v>
      </c>
      <c r="F192" s="3" t="str">
        <f t="shared" si="12"/>
        <v>2025</v>
      </c>
      <c r="G192" s="4">
        <f t="shared" si="13"/>
        <v>10</v>
      </c>
      <c r="H192" s="3" t="str">
        <f t="shared" si="14"/>
        <v>Q-4</v>
      </c>
      <c r="I192" t="s">
        <v>11</v>
      </c>
      <c r="J192" t="s">
        <v>32</v>
      </c>
      <c r="K192">
        <v>30</v>
      </c>
      <c r="L192" s="5">
        <v>850000</v>
      </c>
      <c r="M192">
        <v>95</v>
      </c>
      <c r="N192" t="s">
        <v>505</v>
      </c>
      <c r="O192" t="s">
        <v>506</v>
      </c>
      <c r="P192" t="s">
        <v>25</v>
      </c>
      <c r="Q192" s="5">
        <f>Table1[[#This Row],[Quantity]]*Table1[[#This Row],[Unit_Price]]</f>
        <v>25500000</v>
      </c>
      <c r="R192" t="str">
        <f>IF(Table1[[#This Row],[Delivery_Days]]&lt;=3,"Fast",IF(Table1[[#This Row],[Delivery_Days]]&lt;=7,"Normal","Late"))</f>
        <v>Late</v>
      </c>
    </row>
    <row r="193" spans="1:18" x14ac:dyDescent="0.35">
      <c r="A193" t="s">
        <v>267</v>
      </c>
      <c r="B193" t="str">
        <f t="shared" si="10"/>
        <v>APX1239</v>
      </c>
      <c r="C193" s="3">
        <v>45938</v>
      </c>
      <c r="D193" s="3">
        <f>IF(ISNUMBER(C193), C193, DATE(RIGHT(C193, 4), MATCH(LEFT(C193, 3), {"Jan","Feb","Mar","Apr","May","Jun","Jul","Aug","Sep","Oct","Nov","Dec"}, 0), MID(C193, 5, 2)))</f>
        <v>45938</v>
      </c>
      <c r="E193" s="3" t="str">
        <f t="shared" si="11"/>
        <v>Oct</v>
      </c>
      <c r="F193" s="3" t="str">
        <f t="shared" si="12"/>
        <v>2025</v>
      </c>
      <c r="G193" s="4">
        <f t="shared" si="13"/>
        <v>10</v>
      </c>
      <c r="H193" s="3" t="str">
        <f t="shared" si="14"/>
        <v>Q-4</v>
      </c>
      <c r="I193" t="s">
        <v>11</v>
      </c>
      <c r="J193" t="s">
        <v>28</v>
      </c>
      <c r="K193">
        <v>12</v>
      </c>
      <c r="L193" s="5">
        <v>23371</v>
      </c>
      <c r="M193">
        <v>95</v>
      </c>
      <c r="N193" t="s">
        <v>40</v>
      </c>
      <c r="O193" t="s">
        <v>506</v>
      </c>
      <c r="P193" t="s">
        <v>15</v>
      </c>
      <c r="Q193" s="5">
        <f>Table1[[#This Row],[Quantity]]*Table1[[#This Row],[Unit_Price]]</f>
        <v>280452</v>
      </c>
      <c r="R193" t="str">
        <f>IF(Table1[[#This Row],[Delivery_Days]]&lt;=3,"Fast",IF(Table1[[#This Row],[Delivery_Days]]&lt;=7,"Normal","Late"))</f>
        <v>Late</v>
      </c>
    </row>
    <row r="194" spans="1:18" x14ac:dyDescent="0.35">
      <c r="A194" t="s">
        <v>268</v>
      </c>
      <c r="B194" t="str">
        <f t="shared" si="10"/>
        <v>APX1167</v>
      </c>
      <c r="C194" s="3">
        <v>45737</v>
      </c>
      <c r="D194" s="3">
        <f>IF(ISNUMBER(C194), C194, DATE(RIGHT(C194, 4), MATCH(LEFT(C194, 3), {"Jan","Feb","Mar","Apr","May","Jun","Jul","Aug","Sep","Oct","Nov","Dec"}, 0), MID(C194, 5, 2)))</f>
        <v>45737</v>
      </c>
      <c r="E194" s="3" t="str">
        <f t="shared" si="11"/>
        <v>Mar</v>
      </c>
      <c r="F194" s="3" t="str">
        <f t="shared" si="12"/>
        <v>2025</v>
      </c>
      <c r="G194" s="4">
        <f t="shared" si="13"/>
        <v>3</v>
      </c>
      <c r="H194" s="3" t="str">
        <f t="shared" si="14"/>
        <v>Q-1</v>
      </c>
      <c r="I194" t="s">
        <v>510</v>
      </c>
      <c r="J194" t="s">
        <v>28</v>
      </c>
      <c r="K194">
        <v>2500</v>
      </c>
      <c r="L194" s="5">
        <v>6500</v>
      </c>
      <c r="M194">
        <v>3</v>
      </c>
      <c r="N194" t="s">
        <v>505</v>
      </c>
      <c r="O194" t="s">
        <v>506</v>
      </c>
      <c r="P194" t="s">
        <v>25</v>
      </c>
      <c r="Q194" s="5">
        <f>Table1[[#This Row],[Quantity]]*Table1[[#This Row],[Unit_Price]]</f>
        <v>16250000</v>
      </c>
      <c r="R194" t="str">
        <f>IF(Table1[[#This Row],[Delivery_Days]]&lt;=3,"Fast",IF(Table1[[#This Row],[Delivery_Days]]&lt;=7,"Normal","Late"))</f>
        <v>Fast</v>
      </c>
    </row>
    <row r="195" spans="1:18" x14ac:dyDescent="0.35">
      <c r="A195" t="s">
        <v>45</v>
      </c>
      <c r="B195" t="str">
        <f t="shared" ref="B195:B258" si="15">IF(LEFT(A195,3)="APX",A195,"APX" &amp; A195)</f>
        <v>APX1277</v>
      </c>
      <c r="C195" s="3">
        <v>45856</v>
      </c>
      <c r="D195" s="3">
        <f>IF(ISNUMBER(C195), C195, DATE(RIGHT(C195, 4), MATCH(LEFT(C195, 3), {"Jan","Feb","Mar","Apr","May","Jun","Jul","Aug","Sep","Oct","Nov","Dec"}, 0), MID(C195, 5, 2)))</f>
        <v>45856</v>
      </c>
      <c r="E195" s="3" t="str">
        <f t="shared" ref="E195:E258" si="16">TEXT(D195,"mmm")</f>
        <v>Jul</v>
      </c>
      <c r="F195" s="3" t="str">
        <f t="shared" ref="F195:F258" si="17">TEXT(D195,"yyyy")</f>
        <v>2025</v>
      </c>
      <c r="G195" s="4">
        <f t="shared" ref="G195:G258" si="18">MONTH(D195)</f>
        <v>7</v>
      </c>
      <c r="H195" s="3" t="str">
        <f t="shared" ref="H195:H258" si="19">IF(G195&lt;=3,"Q-1",IF(G195&lt;=6,"Q-2",IF(G195&lt;9,"Q-3","Q-4")))</f>
        <v>Q-3</v>
      </c>
      <c r="I195" t="s">
        <v>76</v>
      </c>
      <c r="J195" t="s">
        <v>39</v>
      </c>
      <c r="K195">
        <v>30</v>
      </c>
      <c r="L195" s="5">
        <v>6970</v>
      </c>
      <c r="M195">
        <v>3</v>
      </c>
      <c r="N195" t="s">
        <v>504</v>
      </c>
      <c r="O195" t="s">
        <v>506</v>
      </c>
      <c r="P195" t="s">
        <v>74</v>
      </c>
      <c r="Q195" s="5">
        <f>Table1[[#This Row],[Quantity]]*Table1[[#This Row],[Unit_Price]]</f>
        <v>209100</v>
      </c>
      <c r="R195" t="str">
        <f>IF(Table1[[#This Row],[Delivery_Days]]&lt;=3,"Fast",IF(Table1[[#This Row],[Delivery_Days]]&lt;=7,"Normal","Late"))</f>
        <v>Fast</v>
      </c>
    </row>
    <row r="196" spans="1:18" x14ac:dyDescent="0.35">
      <c r="A196" t="s">
        <v>269</v>
      </c>
      <c r="B196" t="str">
        <f t="shared" si="15"/>
        <v>APX1231</v>
      </c>
      <c r="C196" s="3">
        <v>45992</v>
      </c>
      <c r="D196" s="3">
        <f>IF(ISNUMBER(C196), C196, DATE(RIGHT(C196, 4), MATCH(LEFT(C196, 3), {"Jan","Feb","Mar","Apr","May","Jun","Jul","Aug","Sep","Oct","Nov","Dec"}, 0), MID(C196, 5, 2)))</f>
        <v>45992</v>
      </c>
      <c r="E196" s="3" t="str">
        <f t="shared" si="16"/>
        <v>Dec</v>
      </c>
      <c r="F196" s="3" t="str">
        <f t="shared" si="17"/>
        <v>2025</v>
      </c>
      <c r="G196" s="4">
        <f t="shared" si="18"/>
        <v>12</v>
      </c>
      <c r="H196" s="3" t="str">
        <f t="shared" si="19"/>
        <v>Q-4</v>
      </c>
      <c r="I196" t="s">
        <v>502</v>
      </c>
      <c r="J196" t="s">
        <v>32</v>
      </c>
      <c r="K196">
        <v>12</v>
      </c>
      <c r="L196" s="5">
        <v>4500</v>
      </c>
      <c r="M196">
        <v>3</v>
      </c>
      <c r="N196" t="s">
        <v>40</v>
      </c>
      <c r="O196" t="s">
        <v>14</v>
      </c>
      <c r="P196" t="s">
        <v>25</v>
      </c>
      <c r="Q196" s="5">
        <f>Table1[[#This Row],[Quantity]]*Table1[[#This Row],[Unit_Price]]</f>
        <v>54000</v>
      </c>
      <c r="R196" t="str">
        <f>IF(Table1[[#This Row],[Delivery_Days]]&lt;=3,"Fast",IF(Table1[[#This Row],[Delivery_Days]]&lt;=7,"Normal","Late"))</f>
        <v>Fast</v>
      </c>
    </row>
    <row r="197" spans="1:18" x14ac:dyDescent="0.35">
      <c r="A197" t="s">
        <v>270</v>
      </c>
      <c r="B197" t="str">
        <f t="shared" si="15"/>
        <v>APX1410</v>
      </c>
      <c r="C197" s="3">
        <v>45988</v>
      </c>
      <c r="D197" s="3">
        <f>IF(ISNUMBER(C197), C197, DATE(RIGHT(C197, 4), MATCH(LEFT(C197, 3), {"Jan","Feb","Mar","Apr","May","Jun","Jul","Aug","Sep","Oct","Nov","Dec"}, 0), MID(C197, 5, 2)))</f>
        <v>45988</v>
      </c>
      <c r="E197" s="3" t="str">
        <f t="shared" si="16"/>
        <v>Nov</v>
      </c>
      <c r="F197" s="3" t="str">
        <f t="shared" si="17"/>
        <v>2025</v>
      </c>
      <c r="G197" s="4">
        <f t="shared" si="18"/>
        <v>11</v>
      </c>
      <c r="H197" s="3" t="str">
        <f t="shared" si="19"/>
        <v>Q-4</v>
      </c>
      <c r="I197" t="s">
        <v>76</v>
      </c>
      <c r="J197" t="s">
        <v>39</v>
      </c>
      <c r="K197">
        <v>12</v>
      </c>
      <c r="L197" s="5">
        <v>800</v>
      </c>
      <c r="M197">
        <v>3</v>
      </c>
      <c r="N197" t="s">
        <v>505</v>
      </c>
      <c r="O197" t="s">
        <v>506</v>
      </c>
      <c r="P197" t="s">
        <v>25</v>
      </c>
      <c r="Q197" s="5">
        <f>Table1[[#This Row],[Quantity]]*Table1[[#This Row],[Unit_Price]]</f>
        <v>9600</v>
      </c>
      <c r="R197" t="str">
        <f>IF(Table1[[#This Row],[Delivery_Days]]&lt;=3,"Fast",IF(Table1[[#This Row],[Delivery_Days]]&lt;=7,"Normal","Late"))</f>
        <v>Fast</v>
      </c>
    </row>
    <row r="198" spans="1:18" x14ac:dyDescent="0.35">
      <c r="A198" t="s">
        <v>271</v>
      </c>
      <c r="B198" t="str">
        <f t="shared" si="15"/>
        <v>APX1156</v>
      </c>
      <c r="C198" s="3" t="s">
        <v>272</v>
      </c>
      <c r="D198" s="3">
        <f>IF(ISNUMBER(C198), C198, DATE(RIGHT(C198, 4), MATCH(LEFT(C198, 3), {"Jan","Feb","Mar","Apr","May","Jun","Jul","Aug","Sep","Oct","Nov","Dec"}, 0), MID(C198, 5, 2)))</f>
        <v>45880</v>
      </c>
      <c r="E198" s="3" t="str">
        <f t="shared" si="16"/>
        <v>Aug</v>
      </c>
      <c r="F198" s="3" t="str">
        <f t="shared" si="17"/>
        <v>2025</v>
      </c>
      <c r="G198" s="4">
        <f t="shared" si="18"/>
        <v>8</v>
      </c>
      <c r="H198" s="3" t="str">
        <f t="shared" si="19"/>
        <v>Q-3</v>
      </c>
      <c r="I198" t="s">
        <v>502</v>
      </c>
      <c r="J198" t="s">
        <v>89</v>
      </c>
      <c r="K198">
        <v>12</v>
      </c>
      <c r="L198" s="5">
        <v>14624</v>
      </c>
      <c r="M198">
        <v>95</v>
      </c>
      <c r="N198" t="s">
        <v>560</v>
      </c>
      <c r="O198" t="s">
        <v>506</v>
      </c>
      <c r="P198" t="s">
        <v>25</v>
      </c>
      <c r="Q198" s="5">
        <f>Table1[[#This Row],[Quantity]]*Table1[[#This Row],[Unit_Price]]</f>
        <v>175488</v>
      </c>
      <c r="R198" t="str">
        <f>IF(Table1[[#This Row],[Delivery_Days]]&lt;=3,"Fast",IF(Table1[[#This Row],[Delivery_Days]]&lt;=7,"Normal","Late"))</f>
        <v>Late</v>
      </c>
    </row>
    <row r="199" spans="1:18" x14ac:dyDescent="0.35">
      <c r="A199" t="s">
        <v>159</v>
      </c>
      <c r="B199" t="str">
        <f t="shared" si="15"/>
        <v>APX1281</v>
      </c>
      <c r="C199" s="3">
        <v>45683</v>
      </c>
      <c r="D199" s="3">
        <f>IF(ISNUMBER(C199), C199, DATE(RIGHT(C199, 4), MATCH(LEFT(C199, 3), {"Jan","Feb","Mar","Apr","May","Jun","Jul","Aug","Sep","Oct","Nov","Dec"}, 0), MID(C199, 5, 2)))</f>
        <v>45683</v>
      </c>
      <c r="E199" s="3" t="str">
        <f t="shared" si="16"/>
        <v>Jan</v>
      </c>
      <c r="F199" s="3" t="str">
        <f t="shared" si="17"/>
        <v>2025</v>
      </c>
      <c r="G199" s="4">
        <f t="shared" si="18"/>
        <v>1</v>
      </c>
      <c r="H199" s="3" t="str">
        <f t="shared" si="19"/>
        <v>Q-1</v>
      </c>
      <c r="I199" t="s">
        <v>76</v>
      </c>
      <c r="J199" t="s">
        <v>89</v>
      </c>
      <c r="K199">
        <v>40</v>
      </c>
      <c r="L199" s="5">
        <v>850000</v>
      </c>
      <c r="M199">
        <v>95</v>
      </c>
      <c r="N199" t="s">
        <v>504</v>
      </c>
      <c r="O199" t="s">
        <v>506</v>
      </c>
      <c r="P199" t="s">
        <v>25</v>
      </c>
      <c r="Q199" s="5">
        <f>Table1[[#This Row],[Quantity]]*Table1[[#This Row],[Unit_Price]]</f>
        <v>34000000</v>
      </c>
      <c r="R199" t="str">
        <f>IF(Table1[[#This Row],[Delivery_Days]]&lt;=3,"Fast",IF(Table1[[#This Row],[Delivery_Days]]&lt;=7,"Normal","Late"))</f>
        <v>Late</v>
      </c>
    </row>
    <row r="200" spans="1:18" x14ac:dyDescent="0.35">
      <c r="A200" t="s">
        <v>273</v>
      </c>
      <c r="B200" t="str">
        <f t="shared" si="15"/>
        <v>APX1344</v>
      </c>
      <c r="C200" s="3">
        <v>45929</v>
      </c>
      <c r="D200" s="3">
        <f>IF(ISNUMBER(C200), C200, DATE(RIGHT(C200, 4), MATCH(LEFT(C200, 3), {"Jan","Feb","Mar","Apr","May","Jun","Jul","Aug","Sep","Oct","Nov","Dec"}, 0), MID(C200, 5, 2)))</f>
        <v>45929</v>
      </c>
      <c r="E200" s="3" t="str">
        <f t="shared" si="16"/>
        <v>Sep</v>
      </c>
      <c r="F200" s="3" t="str">
        <f t="shared" si="17"/>
        <v>2025</v>
      </c>
      <c r="G200" s="4">
        <f t="shared" si="18"/>
        <v>9</v>
      </c>
      <c r="H200" s="3" t="str">
        <f t="shared" si="19"/>
        <v>Q-4</v>
      </c>
      <c r="I200" t="s">
        <v>11</v>
      </c>
      <c r="J200" t="s">
        <v>89</v>
      </c>
      <c r="K200">
        <v>12</v>
      </c>
      <c r="L200" s="5">
        <v>6500</v>
      </c>
      <c r="M200">
        <v>10</v>
      </c>
      <c r="N200" t="s">
        <v>560</v>
      </c>
      <c r="O200" t="s">
        <v>506</v>
      </c>
      <c r="P200" t="s">
        <v>25</v>
      </c>
      <c r="Q200" s="5">
        <f>Table1[[#This Row],[Quantity]]*Table1[[#This Row],[Unit_Price]]</f>
        <v>78000</v>
      </c>
      <c r="R200" t="str">
        <f>IF(Table1[[#This Row],[Delivery_Days]]&lt;=3,"Fast",IF(Table1[[#This Row],[Delivery_Days]]&lt;=7,"Normal","Late"))</f>
        <v>Late</v>
      </c>
    </row>
    <row r="201" spans="1:18" x14ac:dyDescent="0.35">
      <c r="A201" t="s">
        <v>83</v>
      </c>
      <c r="B201" t="str">
        <f t="shared" si="15"/>
        <v>APX1293</v>
      </c>
      <c r="C201" s="3">
        <v>45784</v>
      </c>
      <c r="D201" s="3">
        <f>IF(ISNUMBER(C201), C201, DATE(RIGHT(C201, 4), MATCH(LEFT(C201, 3), {"Jan","Feb","Mar","Apr","May","Jun","Jul","Aug","Sep","Oct","Nov","Dec"}, 0), MID(C201, 5, 2)))</f>
        <v>45784</v>
      </c>
      <c r="E201" s="3" t="str">
        <f t="shared" si="16"/>
        <v>May</v>
      </c>
      <c r="F201" s="3" t="str">
        <f t="shared" si="17"/>
        <v>2025</v>
      </c>
      <c r="G201" s="4">
        <f t="shared" si="18"/>
        <v>5</v>
      </c>
      <c r="H201" s="3" t="str">
        <f t="shared" si="19"/>
        <v>Q-2</v>
      </c>
      <c r="I201" t="s">
        <v>76</v>
      </c>
      <c r="J201" t="s">
        <v>32</v>
      </c>
      <c r="K201">
        <v>30</v>
      </c>
      <c r="L201" s="5">
        <v>850000</v>
      </c>
      <c r="M201">
        <v>95</v>
      </c>
      <c r="N201" t="s">
        <v>40</v>
      </c>
      <c r="O201" t="s">
        <v>506</v>
      </c>
      <c r="P201" t="s">
        <v>74</v>
      </c>
      <c r="Q201" s="5">
        <f>Table1[[#This Row],[Quantity]]*Table1[[#This Row],[Unit_Price]]</f>
        <v>25500000</v>
      </c>
      <c r="R201" t="str">
        <f>IF(Table1[[#This Row],[Delivery_Days]]&lt;=3,"Fast",IF(Table1[[#This Row],[Delivery_Days]]&lt;=7,"Normal","Late"))</f>
        <v>Late</v>
      </c>
    </row>
    <row r="202" spans="1:18" x14ac:dyDescent="0.35">
      <c r="A202" t="s">
        <v>274</v>
      </c>
      <c r="B202" t="str">
        <f t="shared" si="15"/>
        <v>APX1371</v>
      </c>
      <c r="C202" s="3" t="s">
        <v>275</v>
      </c>
      <c r="D202" s="3">
        <f>IF(ISNUMBER(C202), C202, DATE(RIGHT(C202, 4), MATCH(LEFT(C202, 3), {"Jan","Feb","Mar","Apr","May","Jun","Jul","Aug","Sep","Oct","Nov","Dec"}, 0), MID(C202, 5, 2)))</f>
        <v>45960</v>
      </c>
      <c r="E202" s="3" t="str">
        <f t="shared" si="16"/>
        <v>Oct</v>
      </c>
      <c r="F202" s="3" t="str">
        <f t="shared" si="17"/>
        <v>2025</v>
      </c>
      <c r="G202" s="4">
        <f t="shared" si="18"/>
        <v>10</v>
      </c>
      <c r="H202" s="3" t="str">
        <f t="shared" si="19"/>
        <v>Q-4</v>
      </c>
      <c r="I202" t="s">
        <v>510</v>
      </c>
      <c r="J202" t="s">
        <v>39</v>
      </c>
      <c r="K202">
        <v>30</v>
      </c>
      <c r="L202" s="5">
        <v>800</v>
      </c>
      <c r="M202">
        <v>3</v>
      </c>
      <c r="N202" t="s">
        <v>70</v>
      </c>
      <c r="O202" t="s">
        <v>506</v>
      </c>
      <c r="P202" t="s">
        <v>25</v>
      </c>
      <c r="Q202" s="5">
        <f>Table1[[#This Row],[Quantity]]*Table1[[#This Row],[Unit_Price]]</f>
        <v>24000</v>
      </c>
      <c r="R202" t="str">
        <f>IF(Table1[[#This Row],[Delivery_Days]]&lt;=3,"Fast",IF(Table1[[#This Row],[Delivery_Days]]&lt;=7,"Normal","Late"))</f>
        <v>Fast</v>
      </c>
    </row>
    <row r="203" spans="1:18" x14ac:dyDescent="0.35">
      <c r="A203" t="s">
        <v>276</v>
      </c>
      <c r="B203" t="str">
        <f t="shared" si="15"/>
        <v>APX1138</v>
      </c>
      <c r="C203" s="3" t="s">
        <v>277</v>
      </c>
      <c r="D203" s="3">
        <f>IF(ISNUMBER(C203), C203, DATE(RIGHT(C203, 4), MATCH(LEFT(C203, 3), {"Jan","Feb","Mar","Apr","May","Jun","Jul","Aug","Sep","Oct","Nov","Dec"}, 0), MID(C203, 5, 2)))</f>
        <v>45964</v>
      </c>
      <c r="E203" s="3" t="str">
        <f t="shared" si="16"/>
        <v>Nov</v>
      </c>
      <c r="F203" s="3" t="str">
        <f t="shared" si="17"/>
        <v>2025</v>
      </c>
      <c r="G203" s="4">
        <f t="shared" si="18"/>
        <v>11</v>
      </c>
      <c r="H203" s="3" t="str">
        <f t="shared" si="19"/>
        <v>Q-4</v>
      </c>
      <c r="I203" t="s">
        <v>502</v>
      </c>
      <c r="J203" t="s">
        <v>28</v>
      </c>
      <c r="K203">
        <v>30</v>
      </c>
      <c r="L203" s="5">
        <v>6500</v>
      </c>
      <c r="M203">
        <v>8</v>
      </c>
      <c r="N203" t="s">
        <v>70</v>
      </c>
      <c r="O203" t="s">
        <v>46</v>
      </c>
      <c r="P203" t="s">
        <v>25</v>
      </c>
      <c r="Q203" s="5">
        <f>Table1[[#This Row],[Quantity]]*Table1[[#This Row],[Unit_Price]]</f>
        <v>195000</v>
      </c>
      <c r="R203" t="str">
        <f>IF(Table1[[#This Row],[Delivery_Days]]&lt;=3,"Fast",IF(Table1[[#This Row],[Delivery_Days]]&lt;=7,"Normal","Late"))</f>
        <v>Late</v>
      </c>
    </row>
    <row r="204" spans="1:18" x14ac:dyDescent="0.35">
      <c r="A204" t="s">
        <v>162</v>
      </c>
      <c r="B204" t="str">
        <f t="shared" si="15"/>
        <v>APX1308</v>
      </c>
      <c r="C204" s="3">
        <v>45767</v>
      </c>
      <c r="D204" s="3">
        <f>IF(ISNUMBER(C204), C204, DATE(RIGHT(C204, 4), MATCH(LEFT(C204, 3), {"Jan","Feb","Mar","Apr","May","Jun","Jul","Aug","Sep","Oct","Nov","Dec"}, 0), MID(C204, 5, 2)))</f>
        <v>45767</v>
      </c>
      <c r="E204" s="3" t="str">
        <f t="shared" si="16"/>
        <v>Apr</v>
      </c>
      <c r="F204" s="3" t="str">
        <f t="shared" si="17"/>
        <v>2025</v>
      </c>
      <c r="G204" s="4">
        <f t="shared" si="18"/>
        <v>4</v>
      </c>
      <c r="H204" s="3" t="str">
        <f t="shared" si="19"/>
        <v>Q-2</v>
      </c>
      <c r="I204" t="s">
        <v>11</v>
      </c>
      <c r="J204" t="s">
        <v>73</v>
      </c>
      <c r="K204">
        <v>2500</v>
      </c>
      <c r="L204" s="5">
        <v>4500</v>
      </c>
      <c r="M204">
        <v>3</v>
      </c>
      <c r="N204" t="s">
        <v>40</v>
      </c>
      <c r="O204" t="s">
        <v>46</v>
      </c>
      <c r="P204" t="s">
        <v>25</v>
      </c>
      <c r="Q204" s="5">
        <f>Table1[[#This Row],[Quantity]]*Table1[[#This Row],[Unit_Price]]</f>
        <v>11250000</v>
      </c>
      <c r="R204" t="str">
        <f>IF(Table1[[#This Row],[Delivery_Days]]&lt;=3,"Fast",IF(Table1[[#This Row],[Delivery_Days]]&lt;=7,"Normal","Late"))</f>
        <v>Fast</v>
      </c>
    </row>
    <row r="205" spans="1:18" x14ac:dyDescent="0.35">
      <c r="A205" t="s">
        <v>278</v>
      </c>
      <c r="B205" t="str">
        <f t="shared" si="15"/>
        <v>APX1079</v>
      </c>
      <c r="C205" s="3">
        <v>46016</v>
      </c>
      <c r="D205" s="3">
        <f>IF(ISNUMBER(C205), C205, DATE(RIGHT(C205, 4), MATCH(LEFT(C205, 3), {"Jan","Feb","Mar","Apr","May","Jun","Jul","Aug","Sep","Oct","Nov","Dec"}, 0), MID(C205, 5, 2)))</f>
        <v>46016</v>
      </c>
      <c r="E205" s="3" t="str">
        <f t="shared" si="16"/>
        <v>Dec</v>
      </c>
      <c r="F205" s="3" t="str">
        <f t="shared" si="17"/>
        <v>2025</v>
      </c>
      <c r="G205" s="4">
        <f t="shared" si="18"/>
        <v>12</v>
      </c>
      <c r="H205" s="3" t="str">
        <f t="shared" si="19"/>
        <v>Q-4</v>
      </c>
      <c r="I205" t="s">
        <v>17</v>
      </c>
      <c r="J205" t="s">
        <v>64</v>
      </c>
      <c r="K205">
        <v>12</v>
      </c>
      <c r="L205" s="5">
        <v>6500</v>
      </c>
      <c r="M205">
        <v>2</v>
      </c>
      <c r="N205" t="s">
        <v>70</v>
      </c>
      <c r="O205" t="s">
        <v>506</v>
      </c>
      <c r="P205" t="s">
        <v>25</v>
      </c>
      <c r="Q205" s="5">
        <f>Table1[[#This Row],[Quantity]]*Table1[[#This Row],[Unit_Price]]</f>
        <v>78000</v>
      </c>
      <c r="R205" t="str">
        <f>IF(Table1[[#This Row],[Delivery_Days]]&lt;=3,"Fast",IF(Table1[[#This Row],[Delivery_Days]]&lt;=7,"Normal","Late"))</f>
        <v>Fast</v>
      </c>
    </row>
    <row r="206" spans="1:18" x14ac:dyDescent="0.35">
      <c r="A206" t="s">
        <v>279</v>
      </c>
      <c r="B206" t="str">
        <f t="shared" si="15"/>
        <v>APX1055</v>
      </c>
      <c r="C206" s="3">
        <v>45920</v>
      </c>
      <c r="D206" s="3">
        <f>IF(ISNUMBER(C206), C206, DATE(RIGHT(C206, 4), MATCH(LEFT(C206, 3), {"Jan","Feb","Mar","Apr","May","Jun","Jul","Aug","Sep","Oct","Nov","Dec"}, 0), MID(C206, 5, 2)))</f>
        <v>45920</v>
      </c>
      <c r="E206" s="3" t="str">
        <f t="shared" si="16"/>
        <v>Sep</v>
      </c>
      <c r="F206" s="3" t="str">
        <f t="shared" si="17"/>
        <v>2025</v>
      </c>
      <c r="G206" s="4">
        <f t="shared" si="18"/>
        <v>9</v>
      </c>
      <c r="H206" s="3" t="str">
        <f t="shared" si="19"/>
        <v>Q-4</v>
      </c>
      <c r="I206" t="s">
        <v>502</v>
      </c>
      <c r="J206" t="s">
        <v>32</v>
      </c>
      <c r="K206">
        <v>12</v>
      </c>
      <c r="L206" s="5">
        <v>850000</v>
      </c>
      <c r="M206">
        <v>95</v>
      </c>
      <c r="N206" t="s">
        <v>40</v>
      </c>
      <c r="O206" t="s">
        <v>14</v>
      </c>
      <c r="P206" t="s">
        <v>25</v>
      </c>
      <c r="Q206" s="5">
        <f>Table1[[#This Row],[Quantity]]*Table1[[#This Row],[Unit_Price]]</f>
        <v>10200000</v>
      </c>
      <c r="R206" t="str">
        <f>IF(Table1[[#This Row],[Delivery_Days]]&lt;=3,"Fast",IF(Table1[[#This Row],[Delivery_Days]]&lt;=7,"Normal","Late"))</f>
        <v>Late</v>
      </c>
    </row>
    <row r="207" spans="1:18" x14ac:dyDescent="0.35">
      <c r="A207" t="s">
        <v>94</v>
      </c>
      <c r="B207" t="str">
        <f t="shared" si="15"/>
        <v>APX1366</v>
      </c>
      <c r="C207" s="3">
        <v>45955</v>
      </c>
      <c r="D207" s="3">
        <f>IF(ISNUMBER(C207), C207, DATE(RIGHT(C207, 4), MATCH(LEFT(C207, 3), {"Jan","Feb","Mar","Apr","May","Jun","Jul","Aug","Sep","Oct","Nov","Dec"}, 0), MID(C207, 5, 2)))</f>
        <v>45955</v>
      </c>
      <c r="E207" s="3" t="str">
        <f t="shared" si="16"/>
        <v>Oct</v>
      </c>
      <c r="F207" s="3" t="str">
        <f t="shared" si="17"/>
        <v>2025</v>
      </c>
      <c r="G207" s="4">
        <f t="shared" si="18"/>
        <v>10</v>
      </c>
      <c r="H207" s="3" t="str">
        <f t="shared" si="19"/>
        <v>Q-4</v>
      </c>
      <c r="I207" t="s">
        <v>503</v>
      </c>
      <c r="J207" t="s">
        <v>39</v>
      </c>
      <c r="K207">
        <v>30</v>
      </c>
      <c r="L207" s="5">
        <v>17559</v>
      </c>
      <c r="M207">
        <v>4</v>
      </c>
      <c r="N207" t="s">
        <v>505</v>
      </c>
      <c r="O207" t="s">
        <v>14</v>
      </c>
      <c r="P207" t="s">
        <v>25</v>
      </c>
      <c r="Q207" s="5">
        <f>Table1[[#This Row],[Quantity]]*Table1[[#This Row],[Unit_Price]]</f>
        <v>526770</v>
      </c>
      <c r="R207" t="str">
        <f>IF(Table1[[#This Row],[Delivery_Days]]&lt;=3,"Fast",IF(Table1[[#This Row],[Delivery_Days]]&lt;=7,"Normal","Late"))</f>
        <v>Normal</v>
      </c>
    </row>
    <row r="208" spans="1:18" x14ac:dyDescent="0.35">
      <c r="A208" t="s">
        <v>281</v>
      </c>
      <c r="B208" t="str">
        <f t="shared" si="15"/>
        <v>APX1054</v>
      </c>
      <c r="C208" s="3">
        <v>45912</v>
      </c>
      <c r="D208" s="3">
        <f>IF(ISNUMBER(C208), C208, DATE(RIGHT(C208, 4), MATCH(LEFT(C208, 3), {"Jan","Feb","Mar","Apr","May","Jun","Jul","Aug","Sep","Oct","Nov","Dec"}, 0), MID(C208, 5, 2)))</f>
        <v>45912</v>
      </c>
      <c r="E208" s="3" t="str">
        <f t="shared" si="16"/>
        <v>Sep</v>
      </c>
      <c r="F208" s="3" t="str">
        <f t="shared" si="17"/>
        <v>2025</v>
      </c>
      <c r="G208" s="4">
        <f t="shared" si="18"/>
        <v>9</v>
      </c>
      <c r="H208" s="3" t="str">
        <f t="shared" si="19"/>
        <v>Q-4</v>
      </c>
      <c r="I208" t="s">
        <v>502</v>
      </c>
      <c r="J208" t="s">
        <v>73</v>
      </c>
      <c r="K208">
        <v>12</v>
      </c>
      <c r="L208" s="5">
        <v>6500</v>
      </c>
      <c r="M208">
        <v>95</v>
      </c>
      <c r="N208" t="s">
        <v>70</v>
      </c>
      <c r="O208" t="s">
        <v>506</v>
      </c>
      <c r="P208" t="s">
        <v>42</v>
      </c>
      <c r="Q208" s="5">
        <f>Table1[[#This Row],[Quantity]]*Table1[[#This Row],[Unit_Price]]</f>
        <v>78000</v>
      </c>
      <c r="R208" t="str">
        <f>IF(Table1[[#This Row],[Delivery_Days]]&lt;=3,"Fast",IF(Table1[[#This Row],[Delivery_Days]]&lt;=7,"Normal","Late"))</f>
        <v>Late</v>
      </c>
    </row>
    <row r="209" spans="1:18" x14ac:dyDescent="0.35">
      <c r="A209" t="s">
        <v>282</v>
      </c>
      <c r="B209" t="str">
        <f t="shared" si="15"/>
        <v>APX1160</v>
      </c>
      <c r="C209" s="3">
        <v>45771</v>
      </c>
      <c r="D209" s="3">
        <f>IF(ISNUMBER(C209), C209, DATE(RIGHT(C209, 4), MATCH(LEFT(C209, 3), {"Jan","Feb","Mar","Apr","May","Jun","Jul","Aug","Sep","Oct","Nov","Dec"}, 0), MID(C209, 5, 2)))</f>
        <v>45771</v>
      </c>
      <c r="E209" s="3" t="str">
        <f t="shared" si="16"/>
        <v>Apr</v>
      </c>
      <c r="F209" s="3" t="str">
        <f t="shared" si="17"/>
        <v>2025</v>
      </c>
      <c r="G209" s="4">
        <f t="shared" si="18"/>
        <v>4</v>
      </c>
      <c r="H209" s="3" t="str">
        <f t="shared" si="19"/>
        <v>Q-2</v>
      </c>
      <c r="I209" t="s">
        <v>510</v>
      </c>
      <c r="J209" t="s">
        <v>64</v>
      </c>
      <c r="K209">
        <v>145</v>
      </c>
      <c r="L209" s="5">
        <v>800</v>
      </c>
      <c r="M209">
        <v>7</v>
      </c>
      <c r="N209" t="s">
        <v>40</v>
      </c>
      <c r="O209" t="s">
        <v>506</v>
      </c>
      <c r="P209" t="s">
        <v>42</v>
      </c>
      <c r="Q209" s="5">
        <f>Table1[[#This Row],[Quantity]]*Table1[[#This Row],[Unit_Price]]</f>
        <v>116000</v>
      </c>
      <c r="R209" t="str">
        <f>IF(Table1[[#This Row],[Delivery_Days]]&lt;=3,"Fast",IF(Table1[[#This Row],[Delivery_Days]]&lt;=7,"Normal","Late"))</f>
        <v>Normal</v>
      </c>
    </row>
    <row r="210" spans="1:18" x14ac:dyDescent="0.35">
      <c r="A210" t="s">
        <v>136</v>
      </c>
      <c r="B210" t="str">
        <f t="shared" si="15"/>
        <v>APX1114</v>
      </c>
      <c r="C210" s="3">
        <v>45931</v>
      </c>
      <c r="D210" s="3">
        <f>IF(ISNUMBER(C210), C210, DATE(RIGHT(C210, 4), MATCH(LEFT(C210, 3), {"Jan","Feb","Mar","Apr","May","Jun","Jul","Aug","Sep","Oct","Nov","Dec"}, 0), MID(C210, 5, 2)))</f>
        <v>45931</v>
      </c>
      <c r="E210" s="3" t="str">
        <f t="shared" si="16"/>
        <v>Oct</v>
      </c>
      <c r="F210" s="3" t="str">
        <f t="shared" si="17"/>
        <v>2025</v>
      </c>
      <c r="G210" s="4">
        <f t="shared" si="18"/>
        <v>10</v>
      </c>
      <c r="H210" s="3" t="str">
        <f t="shared" si="19"/>
        <v>Q-4</v>
      </c>
      <c r="I210" t="s">
        <v>11</v>
      </c>
      <c r="J210" t="s">
        <v>39</v>
      </c>
      <c r="K210">
        <v>12</v>
      </c>
      <c r="L210" s="5">
        <v>800</v>
      </c>
      <c r="M210">
        <v>4</v>
      </c>
      <c r="N210" t="s">
        <v>70</v>
      </c>
      <c r="O210" t="s">
        <v>506</v>
      </c>
      <c r="P210" t="s">
        <v>74</v>
      </c>
      <c r="Q210" s="5">
        <f>Table1[[#This Row],[Quantity]]*Table1[[#This Row],[Unit_Price]]</f>
        <v>9600</v>
      </c>
      <c r="R210" t="str">
        <f>IF(Table1[[#This Row],[Delivery_Days]]&lt;=3,"Fast",IF(Table1[[#This Row],[Delivery_Days]]&lt;=7,"Normal","Late"))</f>
        <v>Normal</v>
      </c>
    </row>
    <row r="211" spans="1:18" x14ac:dyDescent="0.35">
      <c r="A211" t="s">
        <v>284</v>
      </c>
      <c r="B211" t="str">
        <f t="shared" si="15"/>
        <v>APX1395</v>
      </c>
      <c r="C211" s="3">
        <v>45716</v>
      </c>
      <c r="D211" s="3">
        <f>IF(ISNUMBER(C211), C211, DATE(RIGHT(C211, 4), MATCH(LEFT(C211, 3), {"Jan","Feb","Mar","Apr","May","Jun","Jul","Aug","Sep","Oct","Nov","Dec"}, 0), MID(C211, 5, 2)))</f>
        <v>45716</v>
      </c>
      <c r="E211" s="3" t="str">
        <f t="shared" si="16"/>
        <v>Feb</v>
      </c>
      <c r="F211" s="3" t="str">
        <f t="shared" si="17"/>
        <v>2025</v>
      </c>
      <c r="G211" s="4">
        <f t="shared" si="18"/>
        <v>2</v>
      </c>
      <c r="H211" s="3" t="str">
        <f t="shared" si="19"/>
        <v>Q-1</v>
      </c>
      <c r="I211" t="s">
        <v>17</v>
      </c>
      <c r="J211" t="s">
        <v>32</v>
      </c>
      <c r="K211">
        <v>41</v>
      </c>
      <c r="L211" s="5">
        <v>850000</v>
      </c>
      <c r="M211">
        <v>3</v>
      </c>
      <c r="N211" t="s">
        <v>560</v>
      </c>
      <c r="O211" t="s">
        <v>506</v>
      </c>
      <c r="P211" t="s">
        <v>25</v>
      </c>
      <c r="Q211" s="5">
        <f>Table1[[#This Row],[Quantity]]*Table1[[#This Row],[Unit_Price]]</f>
        <v>34850000</v>
      </c>
      <c r="R211" t="str">
        <f>IF(Table1[[#This Row],[Delivery_Days]]&lt;=3,"Fast",IF(Table1[[#This Row],[Delivery_Days]]&lt;=7,"Normal","Late"))</f>
        <v>Fast</v>
      </c>
    </row>
    <row r="212" spans="1:18" x14ac:dyDescent="0.35">
      <c r="A212" t="s">
        <v>285</v>
      </c>
      <c r="B212" t="str">
        <f t="shared" si="15"/>
        <v>APX1411</v>
      </c>
      <c r="C212" s="3">
        <v>45928</v>
      </c>
      <c r="D212" s="3">
        <f>IF(ISNUMBER(C212), C212, DATE(RIGHT(C212, 4), MATCH(LEFT(C212, 3), {"Jan","Feb","Mar","Apr","May","Jun","Jul","Aug","Sep","Oct","Nov","Dec"}, 0), MID(C212, 5, 2)))</f>
        <v>45928</v>
      </c>
      <c r="E212" s="3" t="str">
        <f t="shared" si="16"/>
        <v>Sep</v>
      </c>
      <c r="F212" s="3" t="str">
        <f t="shared" si="17"/>
        <v>2025</v>
      </c>
      <c r="G212" s="4">
        <f t="shared" si="18"/>
        <v>9</v>
      </c>
      <c r="H212" s="3" t="str">
        <f t="shared" si="19"/>
        <v>Q-4</v>
      </c>
      <c r="I212" t="s">
        <v>17</v>
      </c>
      <c r="J212" t="s">
        <v>39</v>
      </c>
      <c r="K212">
        <v>30</v>
      </c>
      <c r="L212" s="5">
        <v>26888</v>
      </c>
      <c r="M212">
        <v>5</v>
      </c>
      <c r="N212" t="s">
        <v>40</v>
      </c>
      <c r="O212" t="s">
        <v>506</v>
      </c>
      <c r="P212" t="s">
        <v>25</v>
      </c>
      <c r="Q212" s="5">
        <f>Table1[[#This Row],[Quantity]]*Table1[[#This Row],[Unit_Price]]</f>
        <v>806640</v>
      </c>
      <c r="R212" t="str">
        <f>IF(Table1[[#This Row],[Delivery_Days]]&lt;=3,"Fast",IF(Table1[[#This Row],[Delivery_Days]]&lt;=7,"Normal","Late"))</f>
        <v>Normal</v>
      </c>
    </row>
    <row r="213" spans="1:18" x14ac:dyDescent="0.35">
      <c r="A213" t="s">
        <v>139</v>
      </c>
      <c r="B213" t="str">
        <f t="shared" si="15"/>
        <v>APX1065</v>
      </c>
      <c r="C213" s="3">
        <v>45701</v>
      </c>
      <c r="D213" s="3">
        <f>IF(ISNUMBER(C213), C213, DATE(RIGHT(C213, 4), MATCH(LEFT(C213, 3), {"Jan","Feb","Mar","Apr","May","Jun","Jul","Aug","Sep","Oct","Nov","Dec"}, 0), MID(C213, 5, 2)))</f>
        <v>45701</v>
      </c>
      <c r="E213" s="3" t="str">
        <f t="shared" si="16"/>
        <v>Feb</v>
      </c>
      <c r="F213" s="3" t="str">
        <f t="shared" si="17"/>
        <v>2025</v>
      </c>
      <c r="G213" s="4">
        <f t="shared" si="18"/>
        <v>2</v>
      </c>
      <c r="H213" s="3" t="str">
        <f t="shared" si="19"/>
        <v>Q-1</v>
      </c>
      <c r="I213" t="s">
        <v>510</v>
      </c>
      <c r="J213" t="s">
        <v>32</v>
      </c>
      <c r="K213">
        <v>2500</v>
      </c>
      <c r="L213" s="5">
        <v>800</v>
      </c>
      <c r="M213">
        <v>10</v>
      </c>
      <c r="N213" t="s">
        <v>40</v>
      </c>
      <c r="O213" t="s">
        <v>506</v>
      </c>
      <c r="P213" t="s">
        <v>25</v>
      </c>
      <c r="Q213" s="5">
        <f>Table1[[#This Row],[Quantity]]*Table1[[#This Row],[Unit_Price]]</f>
        <v>2000000</v>
      </c>
      <c r="R213" t="str">
        <f>IF(Table1[[#This Row],[Delivery_Days]]&lt;=3,"Fast",IF(Table1[[#This Row],[Delivery_Days]]&lt;=7,"Normal","Late"))</f>
        <v>Late</v>
      </c>
    </row>
    <row r="214" spans="1:18" x14ac:dyDescent="0.35">
      <c r="A214" t="s">
        <v>286</v>
      </c>
      <c r="B214" t="str">
        <f t="shared" si="15"/>
        <v>APX1315</v>
      </c>
      <c r="C214" s="3" t="s">
        <v>287</v>
      </c>
      <c r="D214" s="3">
        <f>IF(ISNUMBER(C214), C214, DATE(RIGHT(C214, 4), MATCH(LEFT(C214, 3), {"Jan","Feb","Mar","Apr","May","Jun","Jul","Aug","Sep","Oct","Nov","Dec"}, 0), MID(C214, 5, 2)))</f>
        <v>45972</v>
      </c>
      <c r="E214" s="3" t="str">
        <f t="shared" si="16"/>
        <v>Nov</v>
      </c>
      <c r="F214" s="3" t="str">
        <f t="shared" si="17"/>
        <v>2025</v>
      </c>
      <c r="G214" s="4">
        <f t="shared" si="18"/>
        <v>11</v>
      </c>
      <c r="H214" s="3" t="str">
        <f t="shared" si="19"/>
        <v>Q-4</v>
      </c>
      <c r="I214" t="s">
        <v>503</v>
      </c>
      <c r="J214" t="s">
        <v>89</v>
      </c>
      <c r="K214">
        <v>30</v>
      </c>
      <c r="L214" s="5">
        <v>2837</v>
      </c>
      <c r="M214">
        <v>5</v>
      </c>
      <c r="N214" t="s">
        <v>40</v>
      </c>
      <c r="O214" t="s">
        <v>506</v>
      </c>
      <c r="P214" t="s">
        <v>25</v>
      </c>
      <c r="Q214" s="5">
        <f>Table1[[#This Row],[Quantity]]*Table1[[#This Row],[Unit_Price]]</f>
        <v>85110</v>
      </c>
      <c r="R214" t="str">
        <f>IF(Table1[[#This Row],[Delivery_Days]]&lt;=3,"Fast",IF(Table1[[#This Row],[Delivery_Days]]&lt;=7,"Normal","Late"))</f>
        <v>Normal</v>
      </c>
    </row>
    <row r="215" spans="1:18" x14ac:dyDescent="0.35">
      <c r="A215" t="s">
        <v>288</v>
      </c>
      <c r="B215" t="str">
        <f t="shared" si="15"/>
        <v>APX1085</v>
      </c>
      <c r="C215" s="3">
        <v>45884</v>
      </c>
      <c r="D215" s="3">
        <f>IF(ISNUMBER(C215), C215, DATE(RIGHT(C215, 4), MATCH(LEFT(C215, 3), {"Jan","Feb","Mar","Apr","May","Jun","Jul","Aug","Sep","Oct","Nov","Dec"}, 0), MID(C215, 5, 2)))</f>
        <v>45884</v>
      </c>
      <c r="E215" s="3" t="str">
        <f t="shared" si="16"/>
        <v>Aug</v>
      </c>
      <c r="F215" s="3" t="str">
        <f t="shared" si="17"/>
        <v>2025</v>
      </c>
      <c r="G215" s="4">
        <f t="shared" si="18"/>
        <v>8</v>
      </c>
      <c r="H215" s="3" t="str">
        <f t="shared" si="19"/>
        <v>Q-3</v>
      </c>
      <c r="I215" t="s">
        <v>503</v>
      </c>
      <c r="J215" t="s">
        <v>39</v>
      </c>
      <c r="K215">
        <v>2500</v>
      </c>
      <c r="L215" s="5">
        <v>800</v>
      </c>
      <c r="M215">
        <v>3</v>
      </c>
      <c r="N215" t="s">
        <v>505</v>
      </c>
      <c r="O215" t="s">
        <v>506</v>
      </c>
      <c r="P215" t="s">
        <v>25</v>
      </c>
      <c r="Q215" s="5">
        <f>Table1[[#This Row],[Quantity]]*Table1[[#This Row],[Unit_Price]]</f>
        <v>2000000</v>
      </c>
      <c r="R215" t="str">
        <f>IF(Table1[[#This Row],[Delivery_Days]]&lt;=3,"Fast",IF(Table1[[#This Row],[Delivery_Days]]&lt;=7,"Normal","Late"))</f>
        <v>Fast</v>
      </c>
    </row>
    <row r="216" spans="1:18" x14ac:dyDescent="0.35">
      <c r="A216" t="s">
        <v>290</v>
      </c>
      <c r="B216" t="str">
        <f t="shared" si="15"/>
        <v>APX1318</v>
      </c>
      <c r="C216" s="3">
        <v>45989</v>
      </c>
      <c r="D216" s="3">
        <f>IF(ISNUMBER(C216), C216, DATE(RIGHT(C216, 4), MATCH(LEFT(C216, 3), {"Jan","Feb","Mar","Apr","May","Jun","Jul","Aug","Sep","Oct","Nov","Dec"}, 0), MID(C216, 5, 2)))</f>
        <v>45989</v>
      </c>
      <c r="E216" s="3" t="str">
        <f t="shared" si="16"/>
        <v>Nov</v>
      </c>
      <c r="F216" s="3" t="str">
        <f t="shared" si="17"/>
        <v>2025</v>
      </c>
      <c r="G216" s="4">
        <f t="shared" si="18"/>
        <v>11</v>
      </c>
      <c r="H216" s="3" t="str">
        <f t="shared" si="19"/>
        <v>Q-4</v>
      </c>
      <c r="I216" t="s">
        <v>502</v>
      </c>
      <c r="J216" t="s">
        <v>32</v>
      </c>
      <c r="K216">
        <v>154</v>
      </c>
      <c r="L216" s="5">
        <v>6500</v>
      </c>
      <c r="M216">
        <v>3</v>
      </c>
      <c r="N216" t="s">
        <v>70</v>
      </c>
      <c r="O216" t="s">
        <v>506</v>
      </c>
      <c r="P216" t="s">
        <v>25</v>
      </c>
      <c r="Q216" s="5">
        <f>Table1[[#This Row],[Quantity]]*Table1[[#This Row],[Unit_Price]]</f>
        <v>1001000</v>
      </c>
      <c r="R216" t="str">
        <f>IF(Table1[[#This Row],[Delivery_Days]]&lt;=3,"Fast",IF(Table1[[#This Row],[Delivery_Days]]&lt;=7,"Normal","Late"))</f>
        <v>Fast</v>
      </c>
    </row>
    <row r="217" spans="1:18" x14ac:dyDescent="0.35">
      <c r="A217" t="s">
        <v>291</v>
      </c>
      <c r="B217" t="str">
        <f t="shared" si="15"/>
        <v>APX1304</v>
      </c>
      <c r="C217" s="3">
        <v>45969</v>
      </c>
      <c r="D217" s="3">
        <f>IF(ISNUMBER(C217), C217, DATE(RIGHT(C217, 4), MATCH(LEFT(C217, 3), {"Jan","Feb","Mar","Apr","May","Jun","Jul","Aug","Sep","Oct","Nov","Dec"}, 0), MID(C217, 5, 2)))</f>
        <v>45969</v>
      </c>
      <c r="E217" s="3" t="str">
        <f t="shared" si="16"/>
        <v>Nov</v>
      </c>
      <c r="F217" s="3" t="str">
        <f t="shared" si="17"/>
        <v>2025</v>
      </c>
      <c r="G217" s="4">
        <f t="shared" si="18"/>
        <v>11</v>
      </c>
      <c r="H217" s="3" t="str">
        <f t="shared" si="19"/>
        <v>Q-4</v>
      </c>
      <c r="I217" t="s">
        <v>503</v>
      </c>
      <c r="J217" t="s">
        <v>32</v>
      </c>
      <c r="K217">
        <v>30</v>
      </c>
      <c r="L217" s="5">
        <v>6500</v>
      </c>
      <c r="M217">
        <v>3</v>
      </c>
      <c r="N217" t="s">
        <v>504</v>
      </c>
      <c r="O217" t="s">
        <v>506</v>
      </c>
      <c r="P217" t="s">
        <v>42</v>
      </c>
      <c r="Q217" s="5">
        <f>Table1[[#This Row],[Quantity]]*Table1[[#This Row],[Unit_Price]]</f>
        <v>195000</v>
      </c>
      <c r="R217" t="str">
        <f>IF(Table1[[#This Row],[Delivery_Days]]&lt;=3,"Fast",IF(Table1[[#This Row],[Delivery_Days]]&lt;=7,"Normal","Late"))</f>
        <v>Fast</v>
      </c>
    </row>
    <row r="218" spans="1:18" x14ac:dyDescent="0.35">
      <c r="A218" t="s">
        <v>292</v>
      </c>
      <c r="B218" t="str">
        <f t="shared" si="15"/>
        <v>APX1211</v>
      </c>
      <c r="C218" s="3">
        <v>45819</v>
      </c>
      <c r="D218" s="3">
        <f>IF(ISNUMBER(C218), C218, DATE(RIGHT(C218, 4), MATCH(LEFT(C218, 3), {"Jan","Feb","Mar","Apr","May","Jun","Jul","Aug","Sep","Oct","Nov","Dec"}, 0), MID(C218, 5, 2)))</f>
        <v>45819</v>
      </c>
      <c r="E218" s="3" t="str">
        <f t="shared" si="16"/>
        <v>Jun</v>
      </c>
      <c r="F218" s="3" t="str">
        <f t="shared" si="17"/>
        <v>2025</v>
      </c>
      <c r="G218" s="4">
        <f t="shared" si="18"/>
        <v>6</v>
      </c>
      <c r="H218" s="3" t="str">
        <f t="shared" si="19"/>
        <v>Q-2</v>
      </c>
      <c r="I218" t="s">
        <v>503</v>
      </c>
      <c r="J218" t="s">
        <v>73</v>
      </c>
      <c r="K218">
        <v>196</v>
      </c>
      <c r="L218" s="5">
        <v>4500</v>
      </c>
      <c r="M218">
        <v>3</v>
      </c>
      <c r="N218" t="s">
        <v>70</v>
      </c>
      <c r="O218" t="s">
        <v>506</v>
      </c>
      <c r="P218" t="s">
        <v>74</v>
      </c>
      <c r="Q218" s="5">
        <f>Table1[[#This Row],[Quantity]]*Table1[[#This Row],[Unit_Price]]</f>
        <v>882000</v>
      </c>
      <c r="R218" t="str">
        <f>IF(Table1[[#This Row],[Delivery_Days]]&lt;=3,"Fast",IF(Table1[[#This Row],[Delivery_Days]]&lt;=7,"Normal","Late"))</f>
        <v>Fast</v>
      </c>
    </row>
    <row r="219" spans="1:18" x14ac:dyDescent="0.35">
      <c r="A219" t="s">
        <v>175</v>
      </c>
      <c r="B219" t="str">
        <f t="shared" si="15"/>
        <v>APX1028</v>
      </c>
      <c r="C219" s="3" t="s">
        <v>293</v>
      </c>
      <c r="D219" s="3">
        <f>IF(ISNUMBER(C219), C219, DATE(RIGHT(C219, 4), MATCH(LEFT(C219, 3), {"Jan","Feb","Mar","Apr","May","Jun","Jul","Aug","Sep","Oct","Nov","Dec"}, 0), MID(C219, 5, 2)))</f>
        <v>45789</v>
      </c>
      <c r="E219" s="3" t="str">
        <f t="shared" si="16"/>
        <v>May</v>
      </c>
      <c r="F219" s="3" t="str">
        <f t="shared" si="17"/>
        <v>2025</v>
      </c>
      <c r="G219" s="4">
        <f t="shared" si="18"/>
        <v>5</v>
      </c>
      <c r="H219" s="3" t="str">
        <f t="shared" si="19"/>
        <v>Q-2</v>
      </c>
      <c r="I219" t="s">
        <v>510</v>
      </c>
      <c r="J219" t="s">
        <v>89</v>
      </c>
      <c r="K219">
        <v>12</v>
      </c>
      <c r="L219" s="5">
        <v>850000</v>
      </c>
      <c r="M219">
        <v>4</v>
      </c>
      <c r="N219" t="s">
        <v>40</v>
      </c>
      <c r="O219" t="s">
        <v>506</v>
      </c>
      <c r="P219" t="s">
        <v>25</v>
      </c>
      <c r="Q219" s="5">
        <f>Table1[[#This Row],[Quantity]]*Table1[[#This Row],[Unit_Price]]</f>
        <v>10200000</v>
      </c>
      <c r="R219" t="str">
        <f>IF(Table1[[#This Row],[Delivery_Days]]&lt;=3,"Fast",IF(Table1[[#This Row],[Delivery_Days]]&lt;=7,"Normal","Late"))</f>
        <v>Normal</v>
      </c>
    </row>
    <row r="220" spans="1:18" x14ac:dyDescent="0.35">
      <c r="A220" t="s">
        <v>209</v>
      </c>
      <c r="B220" t="str">
        <f t="shared" si="15"/>
        <v>APX1006</v>
      </c>
      <c r="C220" s="3">
        <v>45902</v>
      </c>
      <c r="D220" s="3">
        <f>IF(ISNUMBER(C220), C220, DATE(RIGHT(C220, 4), MATCH(LEFT(C220, 3), {"Jan","Feb","Mar","Apr","May","Jun","Jul","Aug","Sep","Oct","Nov","Dec"}, 0), MID(C220, 5, 2)))</f>
        <v>45902</v>
      </c>
      <c r="E220" s="3" t="str">
        <f t="shared" si="16"/>
        <v>Sep</v>
      </c>
      <c r="F220" s="3" t="str">
        <f t="shared" si="17"/>
        <v>2025</v>
      </c>
      <c r="G220" s="4">
        <f t="shared" si="18"/>
        <v>9</v>
      </c>
      <c r="H220" s="3" t="str">
        <f t="shared" si="19"/>
        <v>Q-4</v>
      </c>
      <c r="I220" t="s">
        <v>76</v>
      </c>
      <c r="J220" t="s">
        <v>64</v>
      </c>
      <c r="K220">
        <v>12</v>
      </c>
      <c r="L220" s="5">
        <v>46858</v>
      </c>
      <c r="M220">
        <v>1</v>
      </c>
      <c r="N220" t="s">
        <v>70</v>
      </c>
      <c r="O220" t="s">
        <v>14</v>
      </c>
      <c r="P220" t="s">
        <v>25</v>
      </c>
      <c r="Q220" s="5">
        <f>Table1[[#This Row],[Quantity]]*Table1[[#This Row],[Unit_Price]]</f>
        <v>562296</v>
      </c>
      <c r="R220" t="str">
        <f>IF(Table1[[#This Row],[Delivery_Days]]&lt;=3,"Fast",IF(Table1[[#This Row],[Delivery_Days]]&lt;=7,"Normal","Late"))</f>
        <v>Fast</v>
      </c>
    </row>
    <row r="221" spans="1:18" x14ac:dyDescent="0.35">
      <c r="A221" t="s">
        <v>232</v>
      </c>
      <c r="B221" t="str">
        <f t="shared" si="15"/>
        <v>APX1266</v>
      </c>
      <c r="C221" s="3">
        <v>45659</v>
      </c>
      <c r="D221" s="3">
        <f>IF(ISNUMBER(C221), C221, DATE(RIGHT(C221, 4), MATCH(LEFT(C221, 3), {"Jan","Feb","Mar","Apr","May","Jun","Jul","Aug","Sep","Oct","Nov","Dec"}, 0), MID(C221, 5, 2)))</f>
        <v>45659</v>
      </c>
      <c r="E221" s="3" t="str">
        <f t="shared" si="16"/>
        <v>Jan</v>
      </c>
      <c r="F221" s="3" t="str">
        <f t="shared" si="17"/>
        <v>2025</v>
      </c>
      <c r="G221" s="4">
        <f t="shared" si="18"/>
        <v>1</v>
      </c>
      <c r="H221" s="3" t="str">
        <f t="shared" si="19"/>
        <v>Q-1</v>
      </c>
      <c r="I221" t="s">
        <v>11</v>
      </c>
      <c r="J221" t="s">
        <v>32</v>
      </c>
      <c r="K221">
        <v>30</v>
      </c>
      <c r="L221" s="5">
        <v>850000</v>
      </c>
      <c r="M221">
        <v>2</v>
      </c>
      <c r="N221" t="s">
        <v>40</v>
      </c>
      <c r="O221" t="s">
        <v>506</v>
      </c>
      <c r="P221" t="s">
        <v>25</v>
      </c>
      <c r="Q221" s="5">
        <f>Table1[[#This Row],[Quantity]]*Table1[[#This Row],[Unit_Price]]</f>
        <v>25500000</v>
      </c>
      <c r="R221" t="str">
        <f>IF(Table1[[#This Row],[Delivery_Days]]&lt;=3,"Fast",IF(Table1[[#This Row],[Delivery_Days]]&lt;=7,"Normal","Late"))</f>
        <v>Fast</v>
      </c>
    </row>
    <row r="222" spans="1:18" x14ac:dyDescent="0.35">
      <c r="A222" t="s">
        <v>294</v>
      </c>
      <c r="B222" t="str">
        <f t="shared" si="15"/>
        <v>APX1220</v>
      </c>
      <c r="C222" s="3" t="s">
        <v>295</v>
      </c>
      <c r="D222" s="3">
        <f>IF(ISNUMBER(C222), C222, DATE(RIGHT(C222, 4), MATCH(LEFT(C222, 3), {"Jan","Feb","Mar","Apr","May","Jun","Jul","Aug","Sep","Oct","Nov","Dec"}, 0), MID(C222, 5, 2)))</f>
        <v>46009</v>
      </c>
      <c r="E222" s="3" t="str">
        <f t="shared" si="16"/>
        <v>Dec</v>
      </c>
      <c r="F222" s="3" t="str">
        <f t="shared" si="17"/>
        <v>2025</v>
      </c>
      <c r="G222" s="4">
        <f t="shared" si="18"/>
        <v>12</v>
      </c>
      <c r="H222" s="3" t="str">
        <f t="shared" si="19"/>
        <v>Q-4</v>
      </c>
      <c r="I222" t="s">
        <v>11</v>
      </c>
      <c r="J222" t="s">
        <v>39</v>
      </c>
      <c r="K222">
        <v>2500</v>
      </c>
      <c r="L222" s="5">
        <v>800</v>
      </c>
      <c r="M222">
        <v>95</v>
      </c>
      <c r="N222" t="s">
        <v>40</v>
      </c>
      <c r="O222" t="s">
        <v>506</v>
      </c>
      <c r="P222" t="s">
        <v>42</v>
      </c>
      <c r="Q222" s="5">
        <f>Table1[[#This Row],[Quantity]]*Table1[[#This Row],[Unit_Price]]</f>
        <v>2000000</v>
      </c>
      <c r="R222" t="str">
        <f>IF(Table1[[#This Row],[Delivery_Days]]&lt;=3,"Fast",IF(Table1[[#This Row],[Delivery_Days]]&lt;=7,"Normal","Late"))</f>
        <v>Late</v>
      </c>
    </row>
    <row r="223" spans="1:18" x14ac:dyDescent="0.35">
      <c r="A223" t="s">
        <v>296</v>
      </c>
      <c r="B223" t="str">
        <f t="shared" si="15"/>
        <v>APX1345</v>
      </c>
      <c r="C223" s="3">
        <v>45777</v>
      </c>
      <c r="D223" s="3">
        <f>IF(ISNUMBER(C223), C223, DATE(RIGHT(C223, 4), MATCH(LEFT(C223, 3), {"Jan","Feb","Mar","Apr","May","Jun","Jul","Aug","Sep","Oct","Nov","Dec"}, 0), MID(C223, 5, 2)))</f>
        <v>45777</v>
      </c>
      <c r="E223" s="3" t="str">
        <f t="shared" si="16"/>
        <v>Apr</v>
      </c>
      <c r="F223" s="3" t="str">
        <f t="shared" si="17"/>
        <v>2025</v>
      </c>
      <c r="G223" s="4">
        <f t="shared" si="18"/>
        <v>4</v>
      </c>
      <c r="H223" s="3" t="str">
        <f t="shared" si="19"/>
        <v>Q-2</v>
      </c>
      <c r="I223" t="s">
        <v>510</v>
      </c>
      <c r="J223" t="s">
        <v>32</v>
      </c>
      <c r="K223">
        <v>12</v>
      </c>
      <c r="L223" s="5">
        <v>850000</v>
      </c>
      <c r="M223">
        <v>3</v>
      </c>
      <c r="N223" t="s">
        <v>40</v>
      </c>
      <c r="O223" t="s">
        <v>46</v>
      </c>
      <c r="P223" t="s">
        <v>42</v>
      </c>
      <c r="Q223" s="5">
        <f>Table1[[#This Row],[Quantity]]*Table1[[#This Row],[Unit_Price]]</f>
        <v>10200000</v>
      </c>
      <c r="R223" t="str">
        <f>IF(Table1[[#This Row],[Delivery_Days]]&lt;=3,"Fast",IF(Table1[[#This Row],[Delivery_Days]]&lt;=7,"Normal","Late"))</f>
        <v>Fast</v>
      </c>
    </row>
    <row r="224" spans="1:18" x14ac:dyDescent="0.35">
      <c r="A224" t="s">
        <v>105</v>
      </c>
      <c r="B224" t="str">
        <f t="shared" si="15"/>
        <v>APX1417</v>
      </c>
      <c r="C224" s="3">
        <v>45740</v>
      </c>
      <c r="D224" s="3">
        <f>IF(ISNUMBER(C224), C224, DATE(RIGHT(C224, 4), MATCH(LEFT(C224, 3), {"Jan","Feb","Mar","Apr","May","Jun","Jul","Aug","Sep","Oct","Nov","Dec"}, 0), MID(C224, 5, 2)))</f>
        <v>45740</v>
      </c>
      <c r="E224" s="3" t="str">
        <f t="shared" si="16"/>
        <v>Mar</v>
      </c>
      <c r="F224" s="3" t="str">
        <f t="shared" si="17"/>
        <v>2025</v>
      </c>
      <c r="G224" s="4">
        <f t="shared" si="18"/>
        <v>3</v>
      </c>
      <c r="H224" s="3" t="str">
        <f t="shared" si="19"/>
        <v>Q-1</v>
      </c>
      <c r="I224" t="s">
        <v>510</v>
      </c>
      <c r="J224" t="s">
        <v>28</v>
      </c>
      <c r="K224">
        <v>2500</v>
      </c>
      <c r="L224" s="5">
        <v>4500</v>
      </c>
      <c r="M224">
        <v>3</v>
      </c>
      <c r="N224" t="s">
        <v>560</v>
      </c>
      <c r="O224" t="s">
        <v>506</v>
      </c>
      <c r="P224" t="s">
        <v>25</v>
      </c>
      <c r="Q224" s="5">
        <f>Table1[[#This Row],[Quantity]]*Table1[[#This Row],[Unit_Price]]</f>
        <v>11250000</v>
      </c>
      <c r="R224" t="str">
        <f>IF(Table1[[#This Row],[Delivery_Days]]&lt;=3,"Fast",IF(Table1[[#This Row],[Delivery_Days]]&lt;=7,"Normal","Late"))</f>
        <v>Fast</v>
      </c>
    </row>
    <row r="225" spans="1:18" x14ac:dyDescent="0.35">
      <c r="A225" t="s">
        <v>297</v>
      </c>
      <c r="B225" t="str">
        <f t="shared" si="15"/>
        <v>APX1236</v>
      </c>
      <c r="C225" s="3">
        <v>45982</v>
      </c>
      <c r="D225" s="3">
        <f>IF(ISNUMBER(C225), C225, DATE(RIGHT(C225, 4), MATCH(LEFT(C225, 3), {"Jan","Feb","Mar","Apr","May","Jun","Jul","Aug","Sep","Oct","Nov","Dec"}, 0), MID(C225, 5, 2)))</f>
        <v>45982</v>
      </c>
      <c r="E225" s="3" t="str">
        <f t="shared" si="16"/>
        <v>Nov</v>
      </c>
      <c r="F225" s="3" t="str">
        <f t="shared" si="17"/>
        <v>2025</v>
      </c>
      <c r="G225" s="4">
        <f t="shared" si="18"/>
        <v>11</v>
      </c>
      <c r="H225" s="3" t="str">
        <f t="shared" si="19"/>
        <v>Q-4</v>
      </c>
      <c r="I225" t="s">
        <v>11</v>
      </c>
      <c r="J225" t="s">
        <v>39</v>
      </c>
      <c r="K225">
        <v>30</v>
      </c>
      <c r="L225" s="5">
        <v>850000</v>
      </c>
      <c r="M225">
        <v>95</v>
      </c>
      <c r="N225" t="s">
        <v>505</v>
      </c>
      <c r="O225" t="s">
        <v>506</v>
      </c>
      <c r="P225" t="s">
        <v>74</v>
      </c>
      <c r="Q225" s="5">
        <f>Table1[[#This Row],[Quantity]]*Table1[[#This Row],[Unit_Price]]</f>
        <v>25500000</v>
      </c>
      <c r="R225" t="str">
        <f>IF(Table1[[#This Row],[Delivery_Days]]&lt;=3,"Fast",IF(Table1[[#This Row],[Delivery_Days]]&lt;=7,"Normal","Late"))</f>
        <v>Late</v>
      </c>
    </row>
    <row r="226" spans="1:18" x14ac:dyDescent="0.35">
      <c r="A226" t="s">
        <v>236</v>
      </c>
      <c r="B226" t="str">
        <f t="shared" si="15"/>
        <v>APX1225</v>
      </c>
      <c r="C226" s="3">
        <v>45693</v>
      </c>
      <c r="D226" s="3">
        <f>IF(ISNUMBER(C226), C226, DATE(RIGHT(C226, 4), MATCH(LEFT(C226, 3), {"Jan","Feb","Mar","Apr","May","Jun","Jul","Aug","Sep","Oct","Nov","Dec"}, 0), MID(C226, 5, 2)))</f>
        <v>45693</v>
      </c>
      <c r="E226" s="3" t="str">
        <f t="shared" si="16"/>
        <v>Feb</v>
      </c>
      <c r="F226" s="3" t="str">
        <f t="shared" si="17"/>
        <v>2025</v>
      </c>
      <c r="G226" s="4">
        <f t="shared" si="18"/>
        <v>2</v>
      </c>
      <c r="H226" s="3" t="str">
        <f t="shared" si="19"/>
        <v>Q-1</v>
      </c>
      <c r="I226" t="s">
        <v>502</v>
      </c>
      <c r="J226" t="s">
        <v>73</v>
      </c>
      <c r="K226">
        <v>29</v>
      </c>
      <c r="L226" s="5">
        <v>850000</v>
      </c>
      <c r="M226">
        <v>3</v>
      </c>
      <c r="N226" t="s">
        <v>70</v>
      </c>
      <c r="O226" t="s">
        <v>506</v>
      </c>
      <c r="P226" t="s">
        <v>15</v>
      </c>
      <c r="Q226" s="5">
        <f>Table1[[#This Row],[Quantity]]*Table1[[#This Row],[Unit_Price]]</f>
        <v>24650000</v>
      </c>
      <c r="R226" t="str">
        <f>IF(Table1[[#This Row],[Delivery_Days]]&lt;=3,"Fast",IF(Table1[[#This Row],[Delivery_Days]]&lt;=7,"Normal","Late"))</f>
        <v>Fast</v>
      </c>
    </row>
    <row r="227" spans="1:18" x14ac:dyDescent="0.35">
      <c r="A227" t="s">
        <v>249</v>
      </c>
      <c r="B227" t="str">
        <f t="shared" si="15"/>
        <v>APX1335</v>
      </c>
      <c r="C227" s="3">
        <v>45918</v>
      </c>
      <c r="D227" s="3">
        <f>IF(ISNUMBER(C227), C227, DATE(RIGHT(C227, 4), MATCH(LEFT(C227, 3), {"Jan","Feb","Mar","Apr","May","Jun","Jul","Aug","Sep","Oct","Nov","Dec"}, 0), MID(C227, 5, 2)))</f>
        <v>45918</v>
      </c>
      <c r="E227" s="3" t="str">
        <f t="shared" si="16"/>
        <v>Sep</v>
      </c>
      <c r="F227" s="3" t="str">
        <f t="shared" si="17"/>
        <v>2025</v>
      </c>
      <c r="G227" s="4">
        <f t="shared" si="18"/>
        <v>9</v>
      </c>
      <c r="H227" s="3" t="str">
        <f t="shared" si="19"/>
        <v>Q-4</v>
      </c>
      <c r="I227" t="s">
        <v>510</v>
      </c>
      <c r="J227" t="s">
        <v>28</v>
      </c>
      <c r="K227">
        <v>12</v>
      </c>
      <c r="L227" s="5">
        <v>6500</v>
      </c>
      <c r="M227">
        <v>95</v>
      </c>
      <c r="N227" t="s">
        <v>505</v>
      </c>
      <c r="O227" t="s">
        <v>506</v>
      </c>
      <c r="P227" t="s">
        <v>15</v>
      </c>
      <c r="Q227" s="5">
        <f>Table1[[#This Row],[Quantity]]*Table1[[#This Row],[Unit_Price]]</f>
        <v>78000</v>
      </c>
      <c r="R227" t="str">
        <f>IF(Table1[[#This Row],[Delivery_Days]]&lt;=3,"Fast",IF(Table1[[#This Row],[Delivery_Days]]&lt;=7,"Normal","Late"))</f>
        <v>Late</v>
      </c>
    </row>
    <row r="228" spans="1:18" x14ac:dyDescent="0.35">
      <c r="A228" t="s">
        <v>299</v>
      </c>
      <c r="B228" t="str">
        <f t="shared" si="15"/>
        <v>APX1132</v>
      </c>
      <c r="C228" s="3">
        <v>45718</v>
      </c>
      <c r="D228" s="3">
        <f>IF(ISNUMBER(C228), C228, DATE(RIGHT(C228, 4), MATCH(LEFT(C228, 3), {"Jan","Feb","Mar","Apr","May","Jun","Jul","Aug","Sep","Oct","Nov","Dec"}, 0), MID(C228, 5, 2)))</f>
        <v>45718</v>
      </c>
      <c r="E228" s="3" t="str">
        <f t="shared" si="16"/>
        <v>Mar</v>
      </c>
      <c r="F228" s="3" t="str">
        <f t="shared" si="17"/>
        <v>2025</v>
      </c>
      <c r="G228" s="4">
        <f t="shared" si="18"/>
        <v>3</v>
      </c>
      <c r="H228" s="3" t="str">
        <f t="shared" si="19"/>
        <v>Q-1</v>
      </c>
      <c r="I228" t="s">
        <v>11</v>
      </c>
      <c r="J228" t="s">
        <v>32</v>
      </c>
      <c r="K228">
        <v>75</v>
      </c>
      <c r="L228" s="5">
        <v>4500</v>
      </c>
      <c r="M228">
        <v>95</v>
      </c>
      <c r="N228" t="s">
        <v>40</v>
      </c>
      <c r="O228" t="s">
        <v>506</v>
      </c>
      <c r="P228" t="s">
        <v>25</v>
      </c>
      <c r="Q228" s="5">
        <f>Table1[[#This Row],[Quantity]]*Table1[[#This Row],[Unit_Price]]</f>
        <v>337500</v>
      </c>
      <c r="R228" t="str">
        <f>IF(Table1[[#This Row],[Delivery_Days]]&lt;=3,"Fast",IF(Table1[[#This Row],[Delivery_Days]]&lt;=7,"Normal","Late"))</f>
        <v>Late</v>
      </c>
    </row>
    <row r="229" spans="1:18" x14ac:dyDescent="0.35">
      <c r="A229" t="s">
        <v>300</v>
      </c>
      <c r="B229" t="str">
        <f t="shared" si="15"/>
        <v>APX1004</v>
      </c>
      <c r="C229" s="3" t="s">
        <v>301</v>
      </c>
      <c r="D229" s="3">
        <f>IF(ISNUMBER(C229), C229, DATE(RIGHT(C229, 4), MATCH(LEFT(C229, 3), {"Jan","Feb","Mar","Apr","May","Jun","Jul","Aug","Sep","Oct","Nov","Dec"}, 0), MID(C229, 5, 2)))</f>
        <v>45736</v>
      </c>
      <c r="E229" s="3" t="str">
        <f t="shared" si="16"/>
        <v>Mar</v>
      </c>
      <c r="F229" s="3" t="str">
        <f t="shared" si="17"/>
        <v>2025</v>
      </c>
      <c r="G229" s="4">
        <f t="shared" si="18"/>
        <v>3</v>
      </c>
      <c r="H229" s="3" t="str">
        <f t="shared" si="19"/>
        <v>Q-1</v>
      </c>
      <c r="I229" t="s">
        <v>76</v>
      </c>
      <c r="J229" t="s">
        <v>32</v>
      </c>
      <c r="K229">
        <v>30</v>
      </c>
      <c r="L229" s="5">
        <v>6500</v>
      </c>
      <c r="M229">
        <v>95</v>
      </c>
      <c r="N229" t="s">
        <v>560</v>
      </c>
      <c r="O229" t="s">
        <v>506</v>
      </c>
      <c r="P229" t="s">
        <v>15</v>
      </c>
      <c r="Q229" s="5">
        <f>Table1[[#This Row],[Quantity]]*Table1[[#This Row],[Unit_Price]]</f>
        <v>195000</v>
      </c>
      <c r="R229" t="str">
        <f>IF(Table1[[#This Row],[Delivery_Days]]&lt;=3,"Fast",IF(Table1[[#This Row],[Delivery_Days]]&lt;=7,"Normal","Late"))</f>
        <v>Late</v>
      </c>
    </row>
    <row r="230" spans="1:18" x14ac:dyDescent="0.35">
      <c r="A230" t="s">
        <v>282</v>
      </c>
      <c r="B230" t="str">
        <f t="shared" si="15"/>
        <v>APX1160</v>
      </c>
      <c r="C230" s="3" t="s">
        <v>188</v>
      </c>
      <c r="D230" s="3">
        <f>IF(ISNUMBER(C230), C230, DATE(RIGHT(C230, 4), MATCH(LEFT(C230, 3), {"Jan","Feb","Mar","Apr","May","Jun","Jul","Aug","Sep","Oct","Nov","Dec"}, 0), MID(C230, 5, 2)))</f>
        <v>45691</v>
      </c>
      <c r="E230" s="3" t="str">
        <f t="shared" si="16"/>
        <v>Feb</v>
      </c>
      <c r="F230" s="3" t="str">
        <f t="shared" si="17"/>
        <v>2025</v>
      </c>
      <c r="G230" s="4">
        <f t="shared" si="18"/>
        <v>2</v>
      </c>
      <c r="H230" s="3" t="str">
        <f t="shared" si="19"/>
        <v>Q-1</v>
      </c>
      <c r="I230" t="s">
        <v>76</v>
      </c>
      <c r="J230" t="s">
        <v>73</v>
      </c>
      <c r="K230">
        <v>2500</v>
      </c>
      <c r="L230" s="5">
        <v>26653</v>
      </c>
      <c r="M230">
        <v>11</v>
      </c>
      <c r="N230" t="s">
        <v>40</v>
      </c>
      <c r="O230" t="s">
        <v>14</v>
      </c>
      <c r="P230" t="s">
        <v>42</v>
      </c>
      <c r="Q230" s="5">
        <f>Table1[[#This Row],[Quantity]]*Table1[[#This Row],[Unit_Price]]</f>
        <v>66632500</v>
      </c>
      <c r="R230" t="str">
        <f>IF(Table1[[#This Row],[Delivery_Days]]&lt;=3,"Fast",IF(Table1[[#This Row],[Delivery_Days]]&lt;=7,"Normal","Late"))</f>
        <v>Late</v>
      </c>
    </row>
    <row r="231" spans="1:18" x14ac:dyDescent="0.35">
      <c r="A231" t="s">
        <v>302</v>
      </c>
      <c r="B231" t="str">
        <f t="shared" si="15"/>
        <v>APX1256</v>
      </c>
      <c r="C231" s="3" t="s">
        <v>303</v>
      </c>
      <c r="D231" s="3">
        <f>IF(ISNUMBER(C231), C231, DATE(RIGHT(C231, 4), MATCH(LEFT(C231, 3), {"Jan","Feb","Mar","Apr","May","Jun","Jul","Aug","Sep","Oct","Nov","Dec"}, 0), MID(C231, 5, 2)))</f>
        <v>45804</v>
      </c>
      <c r="E231" s="3" t="str">
        <f t="shared" si="16"/>
        <v>May</v>
      </c>
      <c r="F231" s="3" t="str">
        <f t="shared" si="17"/>
        <v>2025</v>
      </c>
      <c r="G231" s="4">
        <f t="shared" si="18"/>
        <v>5</v>
      </c>
      <c r="H231" s="3" t="str">
        <f t="shared" si="19"/>
        <v>Q-2</v>
      </c>
      <c r="I231" t="s">
        <v>76</v>
      </c>
      <c r="J231" t="s">
        <v>32</v>
      </c>
      <c r="K231">
        <v>12</v>
      </c>
      <c r="L231" s="5">
        <v>26731</v>
      </c>
      <c r="M231">
        <v>4</v>
      </c>
      <c r="N231" t="s">
        <v>40</v>
      </c>
      <c r="O231" t="s">
        <v>506</v>
      </c>
      <c r="P231" t="s">
        <v>25</v>
      </c>
      <c r="Q231" s="5">
        <f>Table1[[#This Row],[Quantity]]*Table1[[#This Row],[Unit_Price]]</f>
        <v>320772</v>
      </c>
      <c r="R231" t="str">
        <f>IF(Table1[[#This Row],[Delivery_Days]]&lt;=3,"Fast",IF(Table1[[#This Row],[Delivery_Days]]&lt;=7,"Normal","Late"))</f>
        <v>Normal</v>
      </c>
    </row>
    <row r="232" spans="1:18" x14ac:dyDescent="0.35">
      <c r="A232" t="s">
        <v>117</v>
      </c>
      <c r="B232" t="str">
        <f t="shared" si="15"/>
        <v>APX1362</v>
      </c>
      <c r="C232" s="3">
        <v>45839</v>
      </c>
      <c r="D232" s="3">
        <f>IF(ISNUMBER(C232), C232, DATE(RIGHT(C232, 4), MATCH(LEFT(C232, 3), {"Jan","Feb","Mar","Apr","May","Jun","Jul","Aug","Sep","Oct","Nov","Dec"}, 0), MID(C232, 5, 2)))</f>
        <v>45839</v>
      </c>
      <c r="E232" s="3" t="str">
        <f t="shared" si="16"/>
        <v>Jul</v>
      </c>
      <c r="F232" s="3" t="str">
        <f t="shared" si="17"/>
        <v>2025</v>
      </c>
      <c r="G232" s="4">
        <f t="shared" si="18"/>
        <v>7</v>
      </c>
      <c r="H232" s="3" t="str">
        <f t="shared" si="19"/>
        <v>Q-3</v>
      </c>
      <c r="I232" t="s">
        <v>76</v>
      </c>
      <c r="J232" t="s">
        <v>73</v>
      </c>
      <c r="K232">
        <v>30</v>
      </c>
      <c r="L232" s="5">
        <v>46467</v>
      </c>
      <c r="M232">
        <v>3</v>
      </c>
      <c r="N232" t="s">
        <v>505</v>
      </c>
      <c r="O232" t="s">
        <v>506</v>
      </c>
      <c r="P232" t="s">
        <v>25</v>
      </c>
      <c r="Q232" s="5">
        <f>Table1[[#This Row],[Quantity]]*Table1[[#This Row],[Unit_Price]]</f>
        <v>1394010</v>
      </c>
      <c r="R232" t="str">
        <f>IF(Table1[[#This Row],[Delivery_Days]]&lt;=3,"Fast",IF(Table1[[#This Row],[Delivery_Days]]&lt;=7,"Normal","Late"))</f>
        <v>Fast</v>
      </c>
    </row>
    <row r="233" spans="1:18" x14ac:dyDescent="0.35">
      <c r="A233" t="s">
        <v>26</v>
      </c>
      <c r="B233" t="str">
        <f t="shared" si="15"/>
        <v>APX1213</v>
      </c>
      <c r="C233" s="3">
        <v>45941</v>
      </c>
      <c r="D233" s="3">
        <f>IF(ISNUMBER(C233), C233, DATE(RIGHT(C233, 4), MATCH(LEFT(C233, 3), {"Jan","Feb","Mar","Apr","May","Jun","Jul","Aug","Sep","Oct","Nov","Dec"}, 0), MID(C233, 5, 2)))</f>
        <v>45941</v>
      </c>
      <c r="E233" s="3" t="str">
        <f t="shared" si="16"/>
        <v>Oct</v>
      </c>
      <c r="F233" s="3" t="str">
        <f t="shared" si="17"/>
        <v>2025</v>
      </c>
      <c r="G233" s="4">
        <f t="shared" si="18"/>
        <v>10</v>
      </c>
      <c r="H233" s="3" t="str">
        <f t="shared" si="19"/>
        <v>Q-4</v>
      </c>
      <c r="I233" t="s">
        <v>76</v>
      </c>
      <c r="J233" t="s">
        <v>73</v>
      </c>
      <c r="K233">
        <v>136</v>
      </c>
      <c r="L233" s="5">
        <v>4500</v>
      </c>
      <c r="M233">
        <v>3</v>
      </c>
      <c r="N233" t="s">
        <v>40</v>
      </c>
      <c r="O233" t="s">
        <v>14</v>
      </c>
      <c r="P233" t="s">
        <v>15</v>
      </c>
      <c r="Q233" s="5">
        <f>Table1[[#This Row],[Quantity]]*Table1[[#This Row],[Unit_Price]]</f>
        <v>612000</v>
      </c>
      <c r="R233" t="str">
        <f>IF(Table1[[#This Row],[Delivery_Days]]&lt;=3,"Fast",IF(Table1[[#This Row],[Delivery_Days]]&lt;=7,"Normal","Late"))</f>
        <v>Fast</v>
      </c>
    </row>
    <row r="234" spans="1:18" x14ac:dyDescent="0.35">
      <c r="A234" t="s">
        <v>257</v>
      </c>
      <c r="B234" t="str">
        <f t="shared" si="15"/>
        <v>APX1214</v>
      </c>
      <c r="C234" s="3">
        <v>45781</v>
      </c>
      <c r="D234" s="3">
        <f>IF(ISNUMBER(C234), C234, DATE(RIGHT(C234, 4), MATCH(LEFT(C234, 3), {"Jan","Feb","Mar","Apr","May","Jun","Jul","Aug","Sep","Oct","Nov","Dec"}, 0), MID(C234, 5, 2)))</f>
        <v>45781</v>
      </c>
      <c r="E234" s="3" t="str">
        <f t="shared" si="16"/>
        <v>May</v>
      </c>
      <c r="F234" s="3" t="str">
        <f t="shared" si="17"/>
        <v>2025</v>
      </c>
      <c r="G234" s="4">
        <f t="shared" si="18"/>
        <v>5</v>
      </c>
      <c r="H234" s="3" t="str">
        <f t="shared" si="19"/>
        <v>Q-2</v>
      </c>
      <c r="I234" t="s">
        <v>11</v>
      </c>
      <c r="J234" t="s">
        <v>28</v>
      </c>
      <c r="K234">
        <v>42</v>
      </c>
      <c r="L234" s="5">
        <v>6500</v>
      </c>
      <c r="M234">
        <v>95</v>
      </c>
      <c r="N234" t="s">
        <v>40</v>
      </c>
      <c r="O234" t="s">
        <v>506</v>
      </c>
      <c r="P234" t="s">
        <v>42</v>
      </c>
      <c r="Q234" s="5">
        <f>Table1[[#This Row],[Quantity]]*Table1[[#This Row],[Unit_Price]]</f>
        <v>273000</v>
      </c>
      <c r="R234" t="str">
        <f>IF(Table1[[#This Row],[Delivery_Days]]&lt;=3,"Fast",IF(Table1[[#This Row],[Delivery_Days]]&lt;=7,"Normal","Late"))</f>
        <v>Late</v>
      </c>
    </row>
    <row r="235" spans="1:18" x14ac:dyDescent="0.35">
      <c r="A235" t="s">
        <v>224</v>
      </c>
      <c r="B235" t="str">
        <f t="shared" si="15"/>
        <v>APX1210</v>
      </c>
      <c r="C235" s="3">
        <v>45690</v>
      </c>
      <c r="D235" s="3">
        <f>IF(ISNUMBER(C235), C235, DATE(RIGHT(C235, 4), MATCH(LEFT(C235, 3), {"Jan","Feb","Mar","Apr","May","Jun","Jul","Aug","Sep","Oct","Nov","Dec"}, 0), MID(C235, 5, 2)))</f>
        <v>45690</v>
      </c>
      <c r="E235" s="3" t="str">
        <f t="shared" si="16"/>
        <v>Feb</v>
      </c>
      <c r="F235" s="3" t="str">
        <f t="shared" si="17"/>
        <v>2025</v>
      </c>
      <c r="G235" s="4">
        <f t="shared" si="18"/>
        <v>2</v>
      </c>
      <c r="H235" s="3" t="str">
        <f t="shared" si="19"/>
        <v>Q-1</v>
      </c>
      <c r="I235" t="s">
        <v>11</v>
      </c>
      <c r="J235" t="s">
        <v>28</v>
      </c>
      <c r="K235">
        <v>30</v>
      </c>
      <c r="L235" s="5">
        <v>850000</v>
      </c>
      <c r="M235">
        <v>95</v>
      </c>
      <c r="N235" t="s">
        <v>40</v>
      </c>
      <c r="O235" t="s">
        <v>46</v>
      </c>
      <c r="P235" t="s">
        <v>25</v>
      </c>
      <c r="Q235" s="5">
        <f>Table1[[#This Row],[Quantity]]*Table1[[#This Row],[Unit_Price]]</f>
        <v>25500000</v>
      </c>
      <c r="R235" t="str">
        <f>IF(Table1[[#This Row],[Delivery_Days]]&lt;=3,"Fast",IF(Table1[[#This Row],[Delivery_Days]]&lt;=7,"Normal","Late"))</f>
        <v>Late</v>
      </c>
    </row>
    <row r="236" spans="1:18" x14ac:dyDescent="0.35">
      <c r="A236" t="s">
        <v>304</v>
      </c>
      <c r="B236" t="str">
        <f t="shared" si="15"/>
        <v>APX1198</v>
      </c>
      <c r="C236" s="3">
        <v>45766</v>
      </c>
      <c r="D236" s="3">
        <f>IF(ISNUMBER(C236), C236, DATE(RIGHT(C236, 4), MATCH(LEFT(C236, 3), {"Jan","Feb","Mar","Apr","May","Jun","Jul","Aug","Sep","Oct","Nov","Dec"}, 0), MID(C236, 5, 2)))</f>
        <v>45766</v>
      </c>
      <c r="E236" s="3" t="str">
        <f t="shared" si="16"/>
        <v>Apr</v>
      </c>
      <c r="F236" s="3" t="str">
        <f t="shared" si="17"/>
        <v>2025</v>
      </c>
      <c r="G236" s="4">
        <f t="shared" si="18"/>
        <v>4</v>
      </c>
      <c r="H236" s="3" t="str">
        <f t="shared" si="19"/>
        <v>Q-2</v>
      </c>
      <c r="I236" t="s">
        <v>502</v>
      </c>
      <c r="J236" t="s">
        <v>28</v>
      </c>
      <c r="K236">
        <v>2500</v>
      </c>
      <c r="L236" s="5">
        <v>850000</v>
      </c>
      <c r="M236">
        <v>3</v>
      </c>
      <c r="N236" t="s">
        <v>40</v>
      </c>
      <c r="O236" t="s">
        <v>46</v>
      </c>
      <c r="P236" t="s">
        <v>25</v>
      </c>
      <c r="Q236" s="5">
        <f>Table1[[#This Row],[Quantity]]*Table1[[#This Row],[Unit_Price]]</f>
        <v>2125000000</v>
      </c>
      <c r="R236" t="str">
        <f>IF(Table1[[#This Row],[Delivery_Days]]&lt;=3,"Fast",IF(Table1[[#This Row],[Delivery_Days]]&lt;=7,"Normal","Late"))</f>
        <v>Fast</v>
      </c>
    </row>
    <row r="237" spans="1:18" x14ac:dyDescent="0.35">
      <c r="A237" t="s">
        <v>168</v>
      </c>
      <c r="B237" t="str">
        <f t="shared" si="15"/>
        <v>APX1348</v>
      </c>
      <c r="C237" s="3">
        <v>45937</v>
      </c>
      <c r="D237" s="3">
        <f>IF(ISNUMBER(C237), C237, DATE(RIGHT(C237, 4), MATCH(LEFT(C237, 3), {"Jan","Feb","Mar","Apr","May","Jun","Jul","Aug","Sep","Oct","Nov","Dec"}, 0), MID(C237, 5, 2)))</f>
        <v>45937</v>
      </c>
      <c r="E237" s="3" t="str">
        <f t="shared" si="16"/>
        <v>Oct</v>
      </c>
      <c r="F237" s="3" t="str">
        <f t="shared" si="17"/>
        <v>2025</v>
      </c>
      <c r="G237" s="4">
        <f t="shared" si="18"/>
        <v>10</v>
      </c>
      <c r="H237" s="3" t="str">
        <f t="shared" si="19"/>
        <v>Q-4</v>
      </c>
      <c r="I237" t="s">
        <v>502</v>
      </c>
      <c r="J237" t="s">
        <v>89</v>
      </c>
      <c r="K237">
        <v>89</v>
      </c>
      <c r="L237" s="5">
        <v>4500</v>
      </c>
      <c r="M237">
        <v>13</v>
      </c>
      <c r="N237" t="s">
        <v>560</v>
      </c>
      <c r="O237" t="s">
        <v>506</v>
      </c>
      <c r="P237" t="s">
        <v>25</v>
      </c>
      <c r="Q237" s="5">
        <f>Table1[[#This Row],[Quantity]]*Table1[[#This Row],[Unit_Price]]</f>
        <v>400500</v>
      </c>
      <c r="R237" t="str">
        <f>IF(Table1[[#This Row],[Delivery_Days]]&lt;=3,"Fast",IF(Table1[[#This Row],[Delivery_Days]]&lt;=7,"Normal","Late"))</f>
        <v>Late</v>
      </c>
    </row>
    <row r="238" spans="1:18" x14ac:dyDescent="0.35">
      <c r="A238" t="s">
        <v>306</v>
      </c>
      <c r="B238" t="str">
        <f t="shared" si="15"/>
        <v>APX1148</v>
      </c>
      <c r="C238" s="3">
        <v>45936</v>
      </c>
      <c r="D238" s="3">
        <f>IF(ISNUMBER(C238), C238, DATE(RIGHT(C238, 4), MATCH(LEFT(C238, 3), {"Jan","Feb","Mar","Apr","May","Jun","Jul","Aug","Sep","Oct","Nov","Dec"}, 0), MID(C238, 5, 2)))</f>
        <v>45936</v>
      </c>
      <c r="E238" s="3" t="str">
        <f t="shared" si="16"/>
        <v>Oct</v>
      </c>
      <c r="F238" s="3" t="str">
        <f t="shared" si="17"/>
        <v>2025</v>
      </c>
      <c r="G238" s="4">
        <f t="shared" si="18"/>
        <v>10</v>
      </c>
      <c r="H238" s="3" t="str">
        <f t="shared" si="19"/>
        <v>Q-4</v>
      </c>
      <c r="I238" t="s">
        <v>510</v>
      </c>
      <c r="J238" t="s">
        <v>28</v>
      </c>
      <c r="K238">
        <v>111</v>
      </c>
      <c r="L238" s="5">
        <v>6500</v>
      </c>
      <c r="M238">
        <v>3</v>
      </c>
      <c r="N238" t="s">
        <v>40</v>
      </c>
      <c r="O238" t="s">
        <v>506</v>
      </c>
      <c r="P238" t="s">
        <v>25</v>
      </c>
      <c r="Q238" s="5">
        <f>Table1[[#This Row],[Quantity]]*Table1[[#This Row],[Unit_Price]]</f>
        <v>721500</v>
      </c>
      <c r="R238" t="str">
        <f>IF(Table1[[#This Row],[Delivery_Days]]&lt;=3,"Fast",IF(Table1[[#This Row],[Delivery_Days]]&lt;=7,"Normal","Late"))</f>
        <v>Fast</v>
      </c>
    </row>
    <row r="239" spans="1:18" x14ac:dyDescent="0.35">
      <c r="A239" t="s">
        <v>207</v>
      </c>
      <c r="B239" t="str">
        <f t="shared" si="15"/>
        <v>APX1199</v>
      </c>
      <c r="C239" s="3">
        <v>46020</v>
      </c>
      <c r="D239" s="3">
        <f>IF(ISNUMBER(C239), C239, DATE(RIGHT(C239, 4), MATCH(LEFT(C239, 3), {"Jan","Feb","Mar","Apr","May","Jun","Jul","Aug","Sep","Oct","Nov","Dec"}, 0), MID(C239, 5, 2)))</f>
        <v>46020</v>
      </c>
      <c r="E239" s="3" t="str">
        <f t="shared" si="16"/>
        <v>Dec</v>
      </c>
      <c r="F239" s="3" t="str">
        <f t="shared" si="17"/>
        <v>2025</v>
      </c>
      <c r="G239" s="4">
        <f t="shared" si="18"/>
        <v>12</v>
      </c>
      <c r="H239" s="3" t="str">
        <f t="shared" si="19"/>
        <v>Q-4</v>
      </c>
      <c r="I239" t="s">
        <v>76</v>
      </c>
      <c r="J239" t="s">
        <v>39</v>
      </c>
      <c r="K239">
        <v>30</v>
      </c>
      <c r="L239" s="5">
        <v>44502</v>
      </c>
      <c r="M239">
        <v>95</v>
      </c>
      <c r="N239" t="s">
        <v>40</v>
      </c>
      <c r="O239" t="s">
        <v>46</v>
      </c>
      <c r="P239" t="s">
        <v>25</v>
      </c>
      <c r="Q239" s="5">
        <f>Table1[[#This Row],[Quantity]]*Table1[[#This Row],[Unit_Price]]</f>
        <v>1335060</v>
      </c>
      <c r="R239" t="str">
        <f>IF(Table1[[#This Row],[Delivery_Days]]&lt;=3,"Fast",IF(Table1[[#This Row],[Delivery_Days]]&lt;=7,"Normal","Late"))</f>
        <v>Late</v>
      </c>
    </row>
    <row r="240" spans="1:18" x14ac:dyDescent="0.35">
      <c r="A240" t="s">
        <v>308</v>
      </c>
      <c r="B240" t="str">
        <f t="shared" si="15"/>
        <v>APX1092</v>
      </c>
      <c r="C240" s="3">
        <v>45863</v>
      </c>
      <c r="D240" s="3">
        <f>IF(ISNUMBER(C240), C240, DATE(RIGHT(C240, 4), MATCH(LEFT(C240, 3), {"Jan","Feb","Mar","Apr","May","Jun","Jul","Aug","Sep","Oct","Nov","Dec"}, 0), MID(C240, 5, 2)))</f>
        <v>45863</v>
      </c>
      <c r="E240" s="3" t="str">
        <f t="shared" si="16"/>
        <v>Jul</v>
      </c>
      <c r="F240" s="3" t="str">
        <f t="shared" si="17"/>
        <v>2025</v>
      </c>
      <c r="G240" s="4">
        <f t="shared" si="18"/>
        <v>7</v>
      </c>
      <c r="H240" s="3" t="str">
        <f t="shared" si="19"/>
        <v>Q-3</v>
      </c>
      <c r="I240" t="s">
        <v>76</v>
      </c>
      <c r="J240" t="s">
        <v>64</v>
      </c>
      <c r="K240">
        <v>30</v>
      </c>
      <c r="L240" s="5">
        <v>6500</v>
      </c>
      <c r="M240">
        <v>9</v>
      </c>
      <c r="N240" t="s">
        <v>40</v>
      </c>
      <c r="O240" t="s">
        <v>506</v>
      </c>
      <c r="P240" t="s">
        <v>25</v>
      </c>
      <c r="Q240" s="5">
        <f>Table1[[#This Row],[Quantity]]*Table1[[#This Row],[Unit_Price]]</f>
        <v>195000</v>
      </c>
      <c r="R240" t="str">
        <f>IF(Table1[[#This Row],[Delivery_Days]]&lt;=3,"Fast",IF(Table1[[#This Row],[Delivery_Days]]&lt;=7,"Normal","Late"))</f>
        <v>Late</v>
      </c>
    </row>
    <row r="241" spans="1:18" x14ac:dyDescent="0.35">
      <c r="A241" t="s">
        <v>310</v>
      </c>
      <c r="B241" t="str">
        <f t="shared" si="15"/>
        <v>APX1238</v>
      </c>
      <c r="C241" s="3">
        <v>45774</v>
      </c>
      <c r="D241" s="3">
        <f>IF(ISNUMBER(C241), C241, DATE(RIGHT(C241, 4), MATCH(LEFT(C241, 3), {"Jan","Feb","Mar","Apr","May","Jun","Jul","Aug","Sep","Oct","Nov","Dec"}, 0), MID(C241, 5, 2)))</f>
        <v>45774</v>
      </c>
      <c r="E241" s="3" t="str">
        <f t="shared" si="16"/>
        <v>Apr</v>
      </c>
      <c r="F241" s="3" t="str">
        <f t="shared" si="17"/>
        <v>2025</v>
      </c>
      <c r="G241" s="4">
        <f t="shared" si="18"/>
        <v>4</v>
      </c>
      <c r="H241" s="3" t="str">
        <f t="shared" si="19"/>
        <v>Q-2</v>
      </c>
      <c r="I241" t="s">
        <v>76</v>
      </c>
      <c r="J241" t="s">
        <v>73</v>
      </c>
      <c r="K241">
        <v>30</v>
      </c>
      <c r="L241" s="5">
        <v>6500</v>
      </c>
      <c r="M241">
        <v>95</v>
      </c>
      <c r="N241" t="s">
        <v>70</v>
      </c>
      <c r="O241" t="s">
        <v>506</v>
      </c>
      <c r="P241" t="s">
        <v>25</v>
      </c>
      <c r="Q241" s="5">
        <f>Table1[[#This Row],[Quantity]]*Table1[[#This Row],[Unit_Price]]</f>
        <v>195000</v>
      </c>
      <c r="R241" t="str">
        <f>IF(Table1[[#This Row],[Delivery_Days]]&lt;=3,"Fast",IF(Table1[[#This Row],[Delivery_Days]]&lt;=7,"Normal","Late"))</f>
        <v>Late</v>
      </c>
    </row>
    <row r="242" spans="1:18" x14ac:dyDescent="0.35">
      <c r="A242" t="s">
        <v>288</v>
      </c>
      <c r="B242" t="str">
        <f t="shared" si="15"/>
        <v>APX1085</v>
      </c>
      <c r="C242" s="3" t="s">
        <v>287</v>
      </c>
      <c r="D242" s="3">
        <f>IF(ISNUMBER(C242), C242, DATE(RIGHT(C242, 4), MATCH(LEFT(C242, 3), {"Jan","Feb","Mar","Apr","May","Jun","Jul","Aug","Sep","Oct","Nov","Dec"}, 0), MID(C242, 5, 2)))</f>
        <v>45972</v>
      </c>
      <c r="E242" s="3" t="str">
        <f t="shared" si="16"/>
        <v>Nov</v>
      </c>
      <c r="F242" s="3" t="str">
        <f t="shared" si="17"/>
        <v>2025</v>
      </c>
      <c r="G242" s="4">
        <f t="shared" si="18"/>
        <v>11</v>
      </c>
      <c r="H242" s="3" t="str">
        <f t="shared" si="19"/>
        <v>Q-4</v>
      </c>
      <c r="I242" t="s">
        <v>11</v>
      </c>
      <c r="J242" t="s">
        <v>64</v>
      </c>
      <c r="K242">
        <v>12</v>
      </c>
      <c r="L242" s="5">
        <v>1282</v>
      </c>
      <c r="M242">
        <v>3</v>
      </c>
      <c r="N242" t="s">
        <v>40</v>
      </c>
      <c r="O242" t="s">
        <v>506</v>
      </c>
      <c r="P242" t="s">
        <v>25</v>
      </c>
      <c r="Q242" s="5">
        <f>Table1[[#This Row],[Quantity]]*Table1[[#This Row],[Unit_Price]]</f>
        <v>15384</v>
      </c>
      <c r="R242" t="str">
        <f>IF(Table1[[#This Row],[Delivery_Days]]&lt;=3,"Fast",IF(Table1[[#This Row],[Delivery_Days]]&lt;=7,"Normal","Late"))</f>
        <v>Fast</v>
      </c>
    </row>
    <row r="243" spans="1:18" x14ac:dyDescent="0.35">
      <c r="A243" t="s">
        <v>311</v>
      </c>
      <c r="B243" t="str">
        <f t="shared" si="15"/>
        <v>APX1107</v>
      </c>
      <c r="C243" s="3">
        <v>45910</v>
      </c>
      <c r="D243" s="3">
        <f>IF(ISNUMBER(C243), C243, DATE(RIGHT(C243, 4), MATCH(LEFT(C243, 3), {"Jan","Feb","Mar","Apr","May","Jun","Jul","Aug","Sep","Oct","Nov","Dec"}, 0), MID(C243, 5, 2)))</f>
        <v>45910</v>
      </c>
      <c r="E243" s="3" t="str">
        <f t="shared" si="16"/>
        <v>Sep</v>
      </c>
      <c r="F243" s="3" t="str">
        <f t="shared" si="17"/>
        <v>2025</v>
      </c>
      <c r="G243" s="4">
        <f t="shared" si="18"/>
        <v>9</v>
      </c>
      <c r="H243" s="3" t="str">
        <f t="shared" si="19"/>
        <v>Q-4</v>
      </c>
      <c r="I243" t="s">
        <v>17</v>
      </c>
      <c r="J243" t="s">
        <v>89</v>
      </c>
      <c r="K243">
        <v>107</v>
      </c>
      <c r="L243" s="5">
        <v>4500</v>
      </c>
      <c r="M243">
        <v>3</v>
      </c>
      <c r="N243" t="s">
        <v>70</v>
      </c>
      <c r="O243" t="s">
        <v>506</v>
      </c>
      <c r="P243" t="s">
        <v>25</v>
      </c>
      <c r="Q243" s="5">
        <f>Table1[[#This Row],[Quantity]]*Table1[[#This Row],[Unit_Price]]</f>
        <v>481500</v>
      </c>
      <c r="R243" t="str">
        <f>IF(Table1[[#This Row],[Delivery_Days]]&lt;=3,"Fast",IF(Table1[[#This Row],[Delivery_Days]]&lt;=7,"Normal","Late"))</f>
        <v>Fast</v>
      </c>
    </row>
    <row r="244" spans="1:18" x14ac:dyDescent="0.35">
      <c r="A244" t="s">
        <v>306</v>
      </c>
      <c r="B244" t="str">
        <f t="shared" si="15"/>
        <v>APX1148</v>
      </c>
      <c r="C244" s="3">
        <v>46017</v>
      </c>
      <c r="D244" s="3">
        <f>IF(ISNUMBER(C244), C244, DATE(RIGHT(C244, 4), MATCH(LEFT(C244, 3), {"Jan","Feb","Mar","Apr","May","Jun","Jul","Aug","Sep","Oct","Nov","Dec"}, 0), MID(C244, 5, 2)))</f>
        <v>46017</v>
      </c>
      <c r="E244" s="3" t="str">
        <f t="shared" si="16"/>
        <v>Dec</v>
      </c>
      <c r="F244" s="3" t="str">
        <f t="shared" si="17"/>
        <v>2025</v>
      </c>
      <c r="G244" s="4">
        <f t="shared" si="18"/>
        <v>12</v>
      </c>
      <c r="H244" s="3" t="str">
        <f t="shared" si="19"/>
        <v>Q-4</v>
      </c>
      <c r="I244" t="s">
        <v>17</v>
      </c>
      <c r="J244" t="s">
        <v>89</v>
      </c>
      <c r="K244">
        <v>30</v>
      </c>
      <c r="L244" s="5">
        <v>6500</v>
      </c>
      <c r="M244">
        <v>3</v>
      </c>
      <c r="N244" t="s">
        <v>40</v>
      </c>
      <c r="O244" t="s">
        <v>506</v>
      </c>
      <c r="P244" t="s">
        <v>15</v>
      </c>
      <c r="Q244" s="5">
        <f>Table1[[#This Row],[Quantity]]*Table1[[#This Row],[Unit_Price]]</f>
        <v>195000</v>
      </c>
      <c r="R244" t="str">
        <f>IF(Table1[[#This Row],[Delivery_Days]]&lt;=3,"Fast",IF(Table1[[#This Row],[Delivery_Days]]&lt;=7,"Normal","Late"))</f>
        <v>Fast</v>
      </c>
    </row>
    <row r="245" spans="1:18" x14ac:dyDescent="0.35">
      <c r="A245" t="s">
        <v>312</v>
      </c>
      <c r="B245" t="str">
        <f t="shared" si="15"/>
        <v>APX1415</v>
      </c>
      <c r="C245" s="3">
        <v>45943</v>
      </c>
      <c r="D245" s="3">
        <f>IF(ISNUMBER(C245), C245, DATE(RIGHT(C245, 4), MATCH(LEFT(C245, 3), {"Jan","Feb","Mar","Apr","May","Jun","Jul","Aug","Sep","Oct","Nov","Dec"}, 0), MID(C245, 5, 2)))</f>
        <v>45943</v>
      </c>
      <c r="E245" s="3" t="str">
        <f t="shared" si="16"/>
        <v>Oct</v>
      </c>
      <c r="F245" s="3" t="str">
        <f t="shared" si="17"/>
        <v>2025</v>
      </c>
      <c r="G245" s="4">
        <f t="shared" si="18"/>
        <v>10</v>
      </c>
      <c r="H245" s="3" t="str">
        <f t="shared" si="19"/>
        <v>Q-4</v>
      </c>
      <c r="I245" t="s">
        <v>17</v>
      </c>
      <c r="J245" t="s">
        <v>32</v>
      </c>
      <c r="K245">
        <v>164</v>
      </c>
      <c r="L245" s="5">
        <v>6500</v>
      </c>
      <c r="M245">
        <v>95</v>
      </c>
      <c r="N245" t="s">
        <v>504</v>
      </c>
      <c r="O245" t="s">
        <v>506</v>
      </c>
      <c r="P245" t="s">
        <v>15</v>
      </c>
      <c r="Q245" s="5">
        <f>Table1[[#This Row],[Quantity]]*Table1[[#This Row],[Unit_Price]]</f>
        <v>1066000</v>
      </c>
      <c r="R245" t="str">
        <f>IF(Table1[[#This Row],[Delivery_Days]]&lt;=3,"Fast",IF(Table1[[#This Row],[Delivery_Days]]&lt;=7,"Normal","Late"))</f>
        <v>Late</v>
      </c>
    </row>
    <row r="246" spans="1:18" x14ac:dyDescent="0.35">
      <c r="A246" t="s">
        <v>313</v>
      </c>
      <c r="B246" t="str">
        <f t="shared" si="15"/>
        <v>APX1383</v>
      </c>
      <c r="C246" s="3">
        <v>45929</v>
      </c>
      <c r="D246" s="3">
        <f>IF(ISNUMBER(C246), C246, DATE(RIGHT(C246, 4), MATCH(LEFT(C246, 3), {"Jan","Feb","Mar","Apr","May","Jun","Jul","Aug","Sep","Oct","Nov","Dec"}, 0), MID(C246, 5, 2)))</f>
        <v>45929</v>
      </c>
      <c r="E246" s="3" t="str">
        <f t="shared" si="16"/>
        <v>Sep</v>
      </c>
      <c r="F246" s="3" t="str">
        <f t="shared" si="17"/>
        <v>2025</v>
      </c>
      <c r="G246" s="4">
        <f t="shared" si="18"/>
        <v>9</v>
      </c>
      <c r="H246" s="3" t="str">
        <f t="shared" si="19"/>
        <v>Q-4</v>
      </c>
      <c r="I246" t="s">
        <v>502</v>
      </c>
      <c r="J246" t="s">
        <v>64</v>
      </c>
      <c r="K246">
        <v>30</v>
      </c>
      <c r="L246" s="5">
        <v>36837</v>
      </c>
      <c r="M246">
        <v>3</v>
      </c>
      <c r="N246" t="s">
        <v>70</v>
      </c>
      <c r="O246" t="s">
        <v>14</v>
      </c>
      <c r="P246" t="s">
        <v>42</v>
      </c>
      <c r="Q246" s="5">
        <f>Table1[[#This Row],[Quantity]]*Table1[[#This Row],[Unit_Price]]</f>
        <v>1105110</v>
      </c>
      <c r="R246" t="str">
        <f>IF(Table1[[#This Row],[Delivery_Days]]&lt;=3,"Fast",IF(Table1[[#This Row],[Delivery_Days]]&lt;=7,"Normal","Late"))</f>
        <v>Fast</v>
      </c>
    </row>
    <row r="247" spans="1:18" x14ac:dyDescent="0.35">
      <c r="A247" t="s">
        <v>214</v>
      </c>
      <c r="B247" t="str">
        <f t="shared" si="15"/>
        <v>APX1146</v>
      </c>
      <c r="C247" s="3" t="s">
        <v>314</v>
      </c>
      <c r="D247" s="3">
        <f>IF(ISNUMBER(C247), C247, DATE(RIGHT(C247, 4), MATCH(LEFT(C247, 3), {"Jan","Feb","Mar","Apr","May","Jun","Jul","Aug","Sep","Oct","Nov","Dec"}, 0), MID(C247, 5, 2)))</f>
        <v>45724</v>
      </c>
      <c r="E247" s="3" t="str">
        <f t="shared" si="16"/>
        <v>Mar</v>
      </c>
      <c r="F247" s="3" t="str">
        <f t="shared" si="17"/>
        <v>2025</v>
      </c>
      <c r="G247" s="4">
        <f t="shared" si="18"/>
        <v>3</v>
      </c>
      <c r="H247" s="3" t="str">
        <f t="shared" si="19"/>
        <v>Q-1</v>
      </c>
      <c r="I247" t="s">
        <v>76</v>
      </c>
      <c r="J247" t="s">
        <v>32</v>
      </c>
      <c r="K247">
        <v>12</v>
      </c>
      <c r="L247" s="5">
        <v>4500</v>
      </c>
      <c r="M247">
        <v>95</v>
      </c>
      <c r="N247" t="s">
        <v>40</v>
      </c>
      <c r="O247" t="s">
        <v>14</v>
      </c>
      <c r="P247" t="s">
        <v>74</v>
      </c>
      <c r="Q247" s="5">
        <f>Table1[[#This Row],[Quantity]]*Table1[[#This Row],[Unit_Price]]</f>
        <v>54000</v>
      </c>
      <c r="R247" t="str">
        <f>IF(Table1[[#This Row],[Delivery_Days]]&lt;=3,"Fast",IF(Table1[[#This Row],[Delivery_Days]]&lt;=7,"Normal","Late"))</f>
        <v>Late</v>
      </c>
    </row>
    <row r="248" spans="1:18" x14ac:dyDescent="0.35">
      <c r="A248" t="s">
        <v>315</v>
      </c>
      <c r="B248" t="str">
        <f t="shared" si="15"/>
        <v>APX1014</v>
      </c>
      <c r="C248" s="3">
        <v>45937</v>
      </c>
      <c r="D248" s="3">
        <f>IF(ISNUMBER(C248), C248, DATE(RIGHT(C248, 4), MATCH(LEFT(C248, 3), {"Jan","Feb","Mar","Apr","May","Jun","Jul","Aug","Sep","Oct","Nov","Dec"}, 0), MID(C248, 5, 2)))</f>
        <v>45937</v>
      </c>
      <c r="E248" s="3" t="str">
        <f t="shared" si="16"/>
        <v>Oct</v>
      </c>
      <c r="F248" s="3" t="str">
        <f t="shared" si="17"/>
        <v>2025</v>
      </c>
      <c r="G248" s="4">
        <f t="shared" si="18"/>
        <v>10</v>
      </c>
      <c r="H248" s="3" t="str">
        <f t="shared" si="19"/>
        <v>Q-4</v>
      </c>
      <c r="I248" t="s">
        <v>510</v>
      </c>
      <c r="J248" t="s">
        <v>39</v>
      </c>
      <c r="K248">
        <v>12</v>
      </c>
      <c r="L248" s="5">
        <v>800</v>
      </c>
      <c r="M248">
        <v>9</v>
      </c>
      <c r="N248" t="s">
        <v>70</v>
      </c>
      <c r="O248" t="s">
        <v>506</v>
      </c>
      <c r="P248" t="s">
        <v>25</v>
      </c>
      <c r="Q248" s="5">
        <f>Table1[[#This Row],[Quantity]]*Table1[[#This Row],[Unit_Price]]</f>
        <v>9600</v>
      </c>
      <c r="R248" t="str">
        <f>IF(Table1[[#This Row],[Delivery_Days]]&lt;=3,"Fast",IF(Table1[[#This Row],[Delivery_Days]]&lt;=7,"Normal","Late"))</f>
        <v>Late</v>
      </c>
    </row>
    <row r="249" spans="1:18" x14ac:dyDescent="0.35">
      <c r="A249" t="s">
        <v>103</v>
      </c>
      <c r="B249" t="str">
        <f t="shared" si="15"/>
        <v>APX1169</v>
      </c>
      <c r="C249" s="3">
        <v>45969</v>
      </c>
      <c r="D249" s="3">
        <f>IF(ISNUMBER(C249), C249, DATE(RIGHT(C249, 4), MATCH(LEFT(C249, 3), {"Jan","Feb","Mar","Apr","May","Jun","Jul","Aug","Sep","Oct","Nov","Dec"}, 0), MID(C249, 5, 2)))</f>
        <v>45969</v>
      </c>
      <c r="E249" s="3" t="str">
        <f t="shared" si="16"/>
        <v>Nov</v>
      </c>
      <c r="F249" s="3" t="str">
        <f t="shared" si="17"/>
        <v>2025</v>
      </c>
      <c r="G249" s="4">
        <f t="shared" si="18"/>
        <v>11</v>
      </c>
      <c r="H249" s="3" t="str">
        <f t="shared" si="19"/>
        <v>Q-4</v>
      </c>
      <c r="I249" t="s">
        <v>510</v>
      </c>
      <c r="J249" t="s">
        <v>32</v>
      </c>
      <c r="K249">
        <v>30</v>
      </c>
      <c r="L249" s="5">
        <v>29943</v>
      </c>
      <c r="M249">
        <v>95</v>
      </c>
      <c r="N249" t="s">
        <v>40</v>
      </c>
      <c r="O249" t="s">
        <v>14</v>
      </c>
      <c r="P249" t="s">
        <v>25</v>
      </c>
      <c r="Q249" s="5">
        <f>Table1[[#This Row],[Quantity]]*Table1[[#This Row],[Unit_Price]]</f>
        <v>898290</v>
      </c>
      <c r="R249" t="str">
        <f>IF(Table1[[#This Row],[Delivery_Days]]&lt;=3,"Fast",IF(Table1[[#This Row],[Delivery_Days]]&lt;=7,"Normal","Late"))</f>
        <v>Late</v>
      </c>
    </row>
    <row r="250" spans="1:18" x14ac:dyDescent="0.35">
      <c r="A250" t="s">
        <v>316</v>
      </c>
      <c r="B250" t="str">
        <f t="shared" si="15"/>
        <v>APX1001</v>
      </c>
      <c r="C250" s="3" t="s">
        <v>317</v>
      </c>
      <c r="D250" s="3">
        <f>IF(ISNUMBER(C250), C250, DATE(RIGHT(C250, 4), MATCH(LEFT(C250, 3), {"Jan","Feb","Mar","Apr","May","Jun","Jul","Aug","Sep","Oct","Nov","Dec"}, 0), MID(C250, 5, 2)))</f>
        <v>45725</v>
      </c>
      <c r="E250" s="3" t="str">
        <f t="shared" si="16"/>
        <v>Mar</v>
      </c>
      <c r="F250" s="3" t="str">
        <f t="shared" si="17"/>
        <v>2025</v>
      </c>
      <c r="G250" s="4">
        <f t="shared" si="18"/>
        <v>3</v>
      </c>
      <c r="H250" s="3" t="str">
        <f t="shared" si="19"/>
        <v>Q-1</v>
      </c>
      <c r="I250" t="s">
        <v>11</v>
      </c>
      <c r="J250" t="s">
        <v>89</v>
      </c>
      <c r="K250">
        <v>12</v>
      </c>
      <c r="L250" s="5">
        <v>4500</v>
      </c>
      <c r="M250">
        <v>5</v>
      </c>
      <c r="N250" t="s">
        <v>40</v>
      </c>
      <c r="O250" t="s">
        <v>46</v>
      </c>
      <c r="P250" t="s">
        <v>42</v>
      </c>
      <c r="Q250" s="5">
        <f>Table1[[#This Row],[Quantity]]*Table1[[#This Row],[Unit_Price]]</f>
        <v>54000</v>
      </c>
      <c r="R250" t="str">
        <f>IF(Table1[[#This Row],[Delivery_Days]]&lt;=3,"Fast",IF(Table1[[#This Row],[Delivery_Days]]&lt;=7,"Normal","Late"))</f>
        <v>Normal</v>
      </c>
    </row>
    <row r="251" spans="1:18" x14ac:dyDescent="0.35">
      <c r="A251" t="s">
        <v>318</v>
      </c>
      <c r="B251" t="str">
        <f t="shared" si="15"/>
        <v>APX1298</v>
      </c>
      <c r="C251" s="3">
        <v>45809</v>
      </c>
      <c r="D251" s="3">
        <f>IF(ISNUMBER(C251), C251, DATE(RIGHT(C251, 4), MATCH(LEFT(C251, 3), {"Jan","Feb","Mar","Apr","May","Jun","Jul","Aug","Sep","Oct","Nov","Dec"}, 0), MID(C251, 5, 2)))</f>
        <v>45809</v>
      </c>
      <c r="E251" s="3" t="str">
        <f t="shared" si="16"/>
        <v>Jun</v>
      </c>
      <c r="F251" s="3" t="str">
        <f t="shared" si="17"/>
        <v>2025</v>
      </c>
      <c r="G251" s="4">
        <f t="shared" si="18"/>
        <v>6</v>
      </c>
      <c r="H251" s="3" t="str">
        <f t="shared" si="19"/>
        <v>Q-2</v>
      </c>
      <c r="I251" t="s">
        <v>503</v>
      </c>
      <c r="J251" t="s">
        <v>73</v>
      </c>
      <c r="K251">
        <v>12</v>
      </c>
      <c r="L251" s="5">
        <v>850000</v>
      </c>
      <c r="M251">
        <v>95</v>
      </c>
      <c r="N251" t="s">
        <v>40</v>
      </c>
      <c r="O251" t="s">
        <v>506</v>
      </c>
      <c r="P251" t="s">
        <v>74</v>
      </c>
      <c r="Q251" s="5">
        <f>Table1[[#This Row],[Quantity]]*Table1[[#This Row],[Unit_Price]]</f>
        <v>10200000</v>
      </c>
      <c r="R251" t="str">
        <f>IF(Table1[[#This Row],[Delivery_Days]]&lt;=3,"Fast",IF(Table1[[#This Row],[Delivery_Days]]&lt;=7,"Normal","Late"))</f>
        <v>Late</v>
      </c>
    </row>
    <row r="252" spans="1:18" x14ac:dyDescent="0.35">
      <c r="A252" t="s">
        <v>319</v>
      </c>
      <c r="B252" t="str">
        <f t="shared" si="15"/>
        <v>APX1419</v>
      </c>
      <c r="C252" s="3">
        <v>45781</v>
      </c>
      <c r="D252" s="3">
        <f>IF(ISNUMBER(C252), C252, DATE(RIGHT(C252, 4), MATCH(LEFT(C252, 3), {"Jan","Feb","Mar","Apr","May","Jun","Jul","Aug","Sep","Oct","Nov","Dec"}, 0), MID(C252, 5, 2)))</f>
        <v>45781</v>
      </c>
      <c r="E252" s="3" t="str">
        <f t="shared" si="16"/>
        <v>May</v>
      </c>
      <c r="F252" s="3" t="str">
        <f t="shared" si="17"/>
        <v>2025</v>
      </c>
      <c r="G252" s="4">
        <f t="shared" si="18"/>
        <v>5</v>
      </c>
      <c r="H252" s="3" t="str">
        <f t="shared" si="19"/>
        <v>Q-2</v>
      </c>
      <c r="I252" t="s">
        <v>510</v>
      </c>
      <c r="J252" t="s">
        <v>73</v>
      </c>
      <c r="K252">
        <v>188</v>
      </c>
      <c r="L252" s="5">
        <v>850000</v>
      </c>
      <c r="M252">
        <v>95</v>
      </c>
      <c r="N252" t="s">
        <v>70</v>
      </c>
      <c r="O252" t="s">
        <v>506</v>
      </c>
      <c r="P252" t="s">
        <v>74</v>
      </c>
      <c r="Q252" s="5">
        <f>Table1[[#This Row],[Quantity]]*Table1[[#This Row],[Unit_Price]]</f>
        <v>159800000</v>
      </c>
      <c r="R252" t="str">
        <f>IF(Table1[[#This Row],[Delivery_Days]]&lt;=3,"Fast",IF(Table1[[#This Row],[Delivery_Days]]&lt;=7,"Normal","Late"))</f>
        <v>Late</v>
      </c>
    </row>
    <row r="253" spans="1:18" x14ac:dyDescent="0.35">
      <c r="A253" t="s">
        <v>320</v>
      </c>
      <c r="B253" t="str">
        <f t="shared" si="15"/>
        <v>APX1226</v>
      </c>
      <c r="C253" s="3">
        <v>45777</v>
      </c>
      <c r="D253" s="3">
        <f>IF(ISNUMBER(C253), C253, DATE(RIGHT(C253, 4), MATCH(LEFT(C253, 3), {"Jan","Feb","Mar","Apr","May","Jun","Jul","Aug","Sep","Oct","Nov","Dec"}, 0), MID(C253, 5, 2)))</f>
        <v>45777</v>
      </c>
      <c r="E253" s="3" t="str">
        <f t="shared" si="16"/>
        <v>Apr</v>
      </c>
      <c r="F253" s="3" t="str">
        <f t="shared" si="17"/>
        <v>2025</v>
      </c>
      <c r="G253" s="4">
        <f t="shared" si="18"/>
        <v>4</v>
      </c>
      <c r="H253" s="3" t="str">
        <f t="shared" si="19"/>
        <v>Q-2</v>
      </c>
      <c r="I253" t="s">
        <v>502</v>
      </c>
      <c r="J253" t="s">
        <v>32</v>
      </c>
      <c r="K253">
        <v>2500</v>
      </c>
      <c r="L253" s="5">
        <v>850000</v>
      </c>
      <c r="M253">
        <v>95</v>
      </c>
      <c r="N253" t="s">
        <v>40</v>
      </c>
      <c r="O253" t="s">
        <v>506</v>
      </c>
      <c r="P253" t="s">
        <v>25</v>
      </c>
      <c r="Q253" s="5">
        <f>Table1[[#This Row],[Quantity]]*Table1[[#This Row],[Unit_Price]]</f>
        <v>2125000000</v>
      </c>
      <c r="R253" t="str">
        <f>IF(Table1[[#This Row],[Delivery_Days]]&lt;=3,"Fast",IF(Table1[[#This Row],[Delivery_Days]]&lt;=7,"Normal","Late"))</f>
        <v>Late</v>
      </c>
    </row>
    <row r="254" spans="1:18" x14ac:dyDescent="0.35">
      <c r="A254" t="s">
        <v>269</v>
      </c>
      <c r="B254" t="str">
        <f t="shared" si="15"/>
        <v>APX1231</v>
      </c>
      <c r="C254" s="3">
        <v>45917</v>
      </c>
      <c r="D254" s="3">
        <f>IF(ISNUMBER(C254), C254, DATE(RIGHT(C254, 4), MATCH(LEFT(C254, 3), {"Jan","Feb","Mar","Apr","May","Jun","Jul","Aug","Sep","Oct","Nov","Dec"}, 0), MID(C254, 5, 2)))</f>
        <v>45917</v>
      </c>
      <c r="E254" s="3" t="str">
        <f t="shared" si="16"/>
        <v>Sep</v>
      </c>
      <c r="F254" s="3" t="str">
        <f t="shared" si="17"/>
        <v>2025</v>
      </c>
      <c r="G254" s="4">
        <f t="shared" si="18"/>
        <v>9</v>
      </c>
      <c r="H254" s="3" t="str">
        <f t="shared" si="19"/>
        <v>Q-4</v>
      </c>
      <c r="I254" t="s">
        <v>502</v>
      </c>
      <c r="J254" t="s">
        <v>73</v>
      </c>
      <c r="K254">
        <v>26</v>
      </c>
      <c r="L254" s="5">
        <v>6500</v>
      </c>
      <c r="M254">
        <v>10</v>
      </c>
      <c r="N254" t="s">
        <v>40</v>
      </c>
      <c r="O254" t="s">
        <v>14</v>
      </c>
      <c r="P254" t="s">
        <v>25</v>
      </c>
      <c r="Q254" s="5">
        <f>Table1[[#This Row],[Quantity]]*Table1[[#This Row],[Unit_Price]]</f>
        <v>169000</v>
      </c>
      <c r="R254" t="str">
        <f>IF(Table1[[#This Row],[Delivery_Days]]&lt;=3,"Fast",IF(Table1[[#This Row],[Delivery_Days]]&lt;=7,"Normal","Late"))</f>
        <v>Late</v>
      </c>
    </row>
    <row r="255" spans="1:18" x14ac:dyDescent="0.35">
      <c r="A255" t="s">
        <v>201</v>
      </c>
      <c r="B255" t="str">
        <f t="shared" si="15"/>
        <v>APX1130</v>
      </c>
      <c r="C255" s="3">
        <v>45964</v>
      </c>
      <c r="D255" s="3">
        <f>IF(ISNUMBER(C255), C255, DATE(RIGHT(C255, 4), MATCH(LEFT(C255, 3), {"Jan","Feb","Mar","Apr","May","Jun","Jul","Aug","Sep","Oct","Nov","Dec"}, 0), MID(C255, 5, 2)))</f>
        <v>45964</v>
      </c>
      <c r="E255" s="3" t="str">
        <f t="shared" si="16"/>
        <v>Nov</v>
      </c>
      <c r="F255" s="3" t="str">
        <f t="shared" si="17"/>
        <v>2025</v>
      </c>
      <c r="G255" s="4">
        <f t="shared" si="18"/>
        <v>11</v>
      </c>
      <c r="H255" s="3" t="str">
        <f t="shared" si="19"/>
        <v>Q-4</v>
      </c>
      <c r="I255" t="s">
        <v>502</v>
      </c>
      <c r="J255" t="s">
        <v>28</v>
      </c>
      <c r="K255">
        <v>41</v>
      </c>
      <c r="L255" s="5">
        <v>850000</v>
      </c>
      <c r="M255">
        <v>13</v>
      </c>
      <c r="N255" t="s">
        <v>70</v>
      </c>
      <c r="O255" t="s">
        <v>506</v>
      </c>
      <c r="P255" t="s">
        <v>25</v>
      </c>
      <c r="Q255" s="5">
        <f>Table1[[#This Row],[Quantity]]*Table1[[#This Row],[Unit_Price]]</f>
        <v>34850000</v>
      </c>
      <c r="R255" t="str">
        <f>IF(Table1[[#This Row],[Delivery_Days]]&lt;=3,"Fast",IF(Table1[[#This Row],[Delivery_Days]]&lt;=7,"Normal","Late"))</f>
        <v>Late</v>
      </c>
    </row>
    <row r="256" spans="1:18" x14ac:dyDescent="0.35">
      <c r="A256" t="s">
        <v>322</v>
      </c>
      <c r="B256" t="str">
        <f t="shared" si="15"/>
        <v>APX1333</v>
      </c>
      <c r="C256" s="3">
        <v>45846</v>
      </c>
      <c r="D256" s="3">
        <f>IF(ISNUMBER(C256), C256, DATE(RIGHT(C256, 4), MATCH(LEFT(C256, 3), {"Jan","Feb","Mar","Apr","May","Jun","Jul","Aug","Sep","Oct","Nov","Dec"}, 0), MID(C256, 5, 2)))</f>
        <v>45846</v>
      </c>
      <c r="E256" s="3" t="str">
        <f t="shared" si="16"/>
        <v>Jul</v>
      </c>
      <c r="F256" s="3" t="str">
        <f t="shared" si="17"/>
        <v>2025</v>
      </c>
      <c r="G256" s="4">
        <f t="shared" si="18"/>
        <v>7</v>
      </c>
      <c r="H256" s="3" t="str">
        <f t="shared" si="19"/>
        <v>Q-3</v>
      </c>
      <c r="I256" t="s">
        <v>502</v>
      </c>
      <c r="J256" t="s">
        <v>39</v>
      </c>
      <c r="K256">
        <v>126</v>
      </c>
      <c r="L256" s="5">
        <v>850000</v>
      </c>
      <c r="M256">
        <v>13</v>
      </c>
      <c r="N256" t="s">
        <v>40</v>
      </c>
      <c r="O256" t="s">
        <v>14</v>
      </c>
      <c r="P256" t="s">
        <v>25</v>
      </c>
      <c r="Q256" s="5">
        <f>Table1[[#This Row],[Quantity]]*Table1[[#This Row],[Unit_Price]]</f>
        <v>107100000</v>
      </c>
      <c r="R256" t="str">
        <f>IF(Table1[[#This Row],[Delivery_Days]]&lt;=3,"Fast",IF(Table1[[#This Row],[Delivery_Days]]&lt;=7,"Normal","Late"))</f>
        <v>Late</v>
      </c>
    </row>
    <row r="257" spans="1:18" x14ac:dyDescent="0.35">
      <c r="A257" t="s">
        <v>323</v>
      </c>
      <c r="B257" t="str">
        <f t="shared" si="15"/>
        <v>APX1195</v>
      </c>
      <c r="C257" s="3">
        <v>45767</v>
      </c>
      <c r="D257" s="3">
        <f>IF(ISNUMBER(C257), C257, DATE(RIGHT(C257, 4), MATCH(LEFT(C257, 3), {"Jan","Feb","Mar","Apr","May","Jun","Jul","Aug","Sep","Oct","Nov","Dec"}, 0), MID(C257, 5, 2)))</f>
        <v>45767</v>
      </c>
      <c r="E257" s="3" t="str">
        <f t="shared" si="16"/>
        <v>Apr</v>
      </c>
      <c r="F257" s="3" t="str">
        <f t="shared" si="17"/>
        <v>2025</v>
      </c>
      <c r="G257" s="4">
        <f t="shared" si="18"/>
        <v>4</v>
      </c>
      <c r="H257" s="3" t="str">
        <f t="shared" si="19"/>
        <v>Q-2</v>
      </c>
      <c r="I257" t="s">
        <v>503</v>
      </c>
      <c r="J257" t="s">
        <v>89</v>
      </c>
      <c r="K257">
        <v>2500</v>
      </c>
      <c r="L257" s="5">
        <v>4500</v>
      </c>
      <c r="M257">
        <v>95</v>
      </c>
      <c r="N257" t="s">
        <v>70</v>
      </c>
      <c r="O257" t="s">
        <v>46</v>
      </c>
      <c r="P257" t="s">
        <v>42</v>
      </c>
      <c r="Q257" s="5">
        <f>Table1[[#This Row],[Quantity]]*Table1[[#This Row],[Unit_Price]]</f>
        <v>11250000</v>
      </c>
      <c r="R257" t="str">
        <f>IF(Table1[[#This Row],[Delivery_Days]]&lt;=3,"Fast",IF(Table1[[#This Row],[Delivery_Days]]&lt;=7,"Normal","Late"))</f>
        <v>Late</v>
      </c>
    </row>
    <row r="258" spans="1:18" x14ac:dyDescent="0.35">
      <c r="A258" t="s">
        <v>324</v>
      </c>
      <c r="B258" t="str">
        <f t="shared" si="15"/>
        <v>APX1185</v>
      </c>
      <c r="C258" s="3" t="s">
        <v>325</v>
      </c>
      <c r="D258" s="3">
        <f>IF(ISNUMBER(C258), C258, DATE(RIGHT(C258, 4), MATCH(LEFT(C258, 3), {"Jan","Feb","Mar","Apr","May","Jun","Jul","Aug","Sep","Oct","Nov","Dec"}, 0), MID(C258, 5, 2)))</f>
        <v>45870</v>
      </c>
      <c r="E258" s="3" t="str">
        <f t="shared" si="16"/>
        <v>Aug</v>
      </c>
      <c r="F258" s="3" t="str">
        <f t="shared" si="17"/>
        <v>2025</v>
      </c>
      <c r="G258" s="4">
        <f t="shared" si="18"/>
        <v>8</v>
      </c>
      <c r="H258" s="3" t="str">
        <f t="shared" si="19"/>
        <v>Q-3</v>
      </c>
      <c r="I258" t="s">
        <v>76</v>
      </c>
      <c r="J258" t="s">
        <v>64</v>
      </c>
      <c r="K258">
        <v>30</v>
      </c>
      <c r="L258" s="5">
        <v>16891</v>
      </c>
      <c r="M258">
        <v>9</v>
      </c>
      <c r="N258" t="s">
        <v>504</v>
      </c>
      <c r="O258" t="s">
        <v>506</v>
      </c>
      <c r="P258" t="s">
        <v>42</v>
      </c>
      <c r="Q258" s="5">
        <f>Table1[[#This Row],[Quantity]]*Table1[[#This Row],[Unit_Price]]</f>
        <v>506730</v>
      </c>
      <c r="R258" t="str">
        <f>IF(Table1[[#This Row],[Delivery_Days]]&lt;=3,"Fast",IF(Table1[[#This Row],[Delivery_Days]]&lt;=7,"Normal","Late"))</f>
        <v>Late</v>
      </c>
    </row>
    <row r="259" spans="1:18" x14ac:dyDescent="0.35">
      <c r="A259" t="s">
        <v>326</v>
      </c>
      <c r="B259" t="str">
        <f t="shared" ref="B259:B322" si="20">IF(LEFT(A259,3)="APX",A259,"APX" &amp; A259)</f>
        <v>APX1367</v>
      </c>
      <c r="C259" s="3">
        <v>45997</v>
      </c>
      <c r="D259" s="3">
        <f>IF(ISNUMBER(C259), C259, DATE(RIGHT(C259, 4), MATCH(LEFT(C259, 3), {"Jan","Feb","Mar","Apr","May","Jun","Jul","Aug","Sep","Oct","Nov","Dec"}, 0), MID(C259, 5, 2)))</f>
        <v>45997</v>
      </c>
      <c r="E259" s="3" t="str">
        <f t="shared" ref="E259:E322" si="21">TEXT(D259,"mmm")</f>
        <v>Dec</v>
      </c>
      <c r="F259" s="3" t="str">
        <f t="shared" ref="F259:F322" si="22">TEXT(D259,"yyyy")</f>
        <v>2025</v>
      </c>
      <c r="G259" s="4">
        <f t="shared" ref="G259:G322" si="23">MONTH(D259)</f>
        <v>12</v>
      </c>
      <c r="H259" s="3" t="str">
        <f t="shared" ref="H259:H322" si="24">IF(G259&lt;=3,"Q-1",IF(G259&lt;=6,"Q-2",IF(G259&lt;9,"Q-3","Q-4")))</f>
        <v>Q-4</v>
      </c>
      <c r="I259" t="s">
        <v>502</v>
      </c>
      <c r="J259" t="s">
        <v>32</v>
      </c>
      <c r="K259">
        <v>12</v>
      </c>
      <c r="L259" s="5">
        <v>27319</v>
      </c>
      <c r="M259">
        <v>3</v>
      </c>
      <c r="N259" t="s">
        <v>505</v>
      </c>
      <c r="O259" t="s">
        <v>46</v>
      </c>
      <c r="P259" t="s">
        <v>25</v>
      </c>
      <c r="Q259" s="5">
        <f>Table1[[#This Row],[Quantity]]*Table1[[#This Row],[Unit_Price]]</f>
        <v>327828</v>
      </c>
      <c r="R259" t="str">
        <f>IF(Table1[[#This Row],[Delivery_Days]]&lt;=3,"Fast",IF(Table1[[#This Row],[Delivery_Days]]&lt;=7,"Normal","Late"))</f>
        <v>Fast</v>
      </c>
    </row>
    <row r="260" spans="1:18" x14ac:dyDescent="0.35">
      <c r="A260" t="s">
        <v>327</v>
      </c>
      <c r="B260" t="str">
        <f t="shared" si="20"/>
        <v>APX1181</v>
      </c>
      <c r="C260" s="3">
        <v>45709</v>
      </c>
      <c r="D260" s="3">
        <f>IF(ISNUMBER(C260), C260, DATE(RIGHT(C260, 4), MATCH(LEFT(C260, 3), {"Jan","Feb","Mar","Apr","May","Jun","Jul","Aug","Sep","Oct","Nov","Dec"}, 0), MID(C260, 5, 2)))</f>
        <v>45709</v>
      </c>
      <c r="E260" s="3" t="str">
        <f t="shared" si="21"/>
        <v>Feb</v>
      </c>
      <c r="F260" s="3" t="str">
        <f t="shared" si="22"/>
        <v>2025</v>
      </c>
      <c r="G260" s="4">
        <f t="shared" si="23"/>
        <v>2</v>
      </c>
      <c r="H260" s="3" t="str">
        <f t="shared" si="24"/>
        <v>Q-1</v>
      </c>
      <c r="I260" t="s">
        <v>76</v>
      </c>
      <c r="J260" t="s">
        <v>73</v>
      </c>
      <c r="K260">
        <v>30</v>
      </c>
      <c r="L260" s="5">
        <v>6500</v>
      </c>
      <c r="M260">
        <v>2</v>
      </c>
      <c r="N260" t="s">
        <v>40</v>
      </c>
      <c r="O260" t="s">
        <v>506</v>
      </c>
      <c r="P260" t="s">
        <v>25</v>
      </c>
      <c r="Q260" s="5">
        <f>Table1[[#This Row],[Quantity]]*Table1[[#This Row],[Unit_Price]]</f>
        <v>195000</v>
      </c>
      <c r="R260" t="str">
        <f>IF(Table1[[#This Row],[Delivery_Days]]&lt;=3,"Fast",IF(Table1[[#This Row],[Delivery_Days]]&lt;=7,"Normal","Late"))</f>
        <v>Fast</v>
      </c>
    </row>
    <row r="261" spans="1:18" x14ac:dyDescent="0.35">
      <c r="A261" t="s">
        <v>328</v>
      </c>
      <c r="B261" t="str">
        <f t="shared" si="20"/>
        <v>APX1216</v>
      </c>
      <c r="C261" s="3">
        <v>45823</v>
      </c>
      <c r="D261" s="3">
        <f>IF(ISNUMBER(C261), C261, DATE(RIGHT(C261, 4), MATCH(LEFT(C261, 3), {"Jan","Feb","Mar","Apr","May","Jun","Jul","Aug","Sep","Oct","Nov","Dec"}, 0), MID(C261, 5, 2)))</f>
        <v>45823</v>
      </c>
      <c r="E261" s="3" t="str">
        <f t="shared" si="21"/>
        <v>Jun</v>
      </c>
      <c r="F261" s="3" t="str">
        <f t="shared" si="22"/>
        <v>2025</v>
      </c>
      <c r="G261" s="4">
        <f t="shared" si="23"/>
        <v>6</v>
      </c>
      <c r="H261" s="3" t="str">
        <f t="shared" si="24"/>
        <v>Q-2</v>
      </c>
      <c r="I261" t="s">
        <v>76</v>
      </c>
      <c r="J261" t="s">
        <v>64</v>
      </c>
      <c r="K261">
        <v>54</v>
      </c>
      <c r="L261" s="5">
        <v>850000</v>
      </c>
      <c r="M261">
        <v>11</v>
      </c>
      <c r="N261" t="s">
        <v>504</v>
      </c>
      <c r="O261" t="s">
        <v>14</v>
      </c>
      <c r="P261" t="s">
        <v>25</v>
      </c>
      <c r="Q261" s="5">
        <f>Table1[[#This Row],[Quantity]]*Table1[[#This Row],[Unit_Price]]</f>
        <v>45900000</v>
      </c>
      <c r="R261" t="str">
        <f>IF(Table1[[#This Row],[Delivery_Days]]&lt;=3,"Fast",IF(Table1[[#This Row],[Delivery_Days]]&lt;=7,"Normal","Late"))</f>
        <v>Late</v>
      </c>
    </row>
    <row r="262" spans="1:18" x14ac:dyDescent="0.35">
      <c r="A262" t="s">
        <v>178</v>
      </c>
      <c r="B262" t="str">
        <f t="shared" si="20"/>
        <v>APX1403</v>
      </c>
      <c r="C262" s="3">
        <v>45802</v>
      </c>
      <c r="D262" s="3">
        <f>IF(ISNUMBER(C262), C262, DATE(RIGHT(C262, 4), MATCH(LEFT(C262, 3), {"Jan","Feb","Mar","Apr","May","Jun","Jul","Aug","Sep","Oct","Nov","Dec"}, 0), MID(C262, 5, 2)))</f>
        <v>45802</v>
      </c>
      <c r="E262" s="3" t="str">
        <f t="shared" si="21"/>
        <v>May</v>
      </c>
      <c r="F262" s="3" t="str">
        <f t="shared" si="22"/>
        <v>2025</v>
      </c>
      <c r="G262" s="4">
        <f t="shared" si="23"/>
        <v>5</v>
      </c>
      <c r="H262" s="3" t="str">
        <f t="shared" si="24"/>
        <v>Q-2</v>
      </c>
      <c r="I262" t="s">
        <v>17</v>
      </c>
      <c r="J262" t="s">
        <v>39</v>
      </c>
      <c r="K262">
        <v>2500</v>
      </c>
      <c r="L262" s="5">
        <v>6500</v>
      </c>
      <c r="M262">
        <v>3</v>
      </c>
      <c r="N262" t="s">
        <v>40</v>
      </c>
      <c r="O262" t="s">
        <v>506</v>
      </c>
      <c r="P262" t="s">
        <v>25</v>
      </c>
      <c r="Q262" s="5">
        <f>Table1[[#This Row],[Quantity]]*Table1[[#This Row],[Unit_Price]]</f>
        <v>16250000</v>
      </c>
      <c r="R262" t="str">
        <f>IF(Table1[[#This Row],[Delivery_Days]]&lt;=3,"Fast",IF(Table1[[#This Row],[Delivery_Days]]&lt;=7,"Normal","Late"))</f>
        <v>Fast</v>
      </c>
    </row>
    <row r="263" spans="1:18" x14ac:dyDescent="0.35">
      <c r="A263" t="s">
        <v>105</v>
      </c>
      <c r="B263" t="str">
        <f t="shared" si="20"/>
        <v>APX1417</v>
      </c>
      <c r="C263" s="3">
        <v>45729</v>
      </c>
      <c r="D263" s="3">
        <f>IF(ISNUMBER(C263), C263, DATE(RIGHT(C263, 4), MATCH(LEFT(C263, 3), {"Jan","Feb","Mar","Apr","May","Jun","Jul","Aug","Sep","Oct","Nov","Dec"}, 0), MID(C263, 5, 2)))</f>
        <v>45729</v>
      </c>
      <c r="E263" s="3" t="str">
        <f t="shared" si="21"/>
        <v>Mar</v>
      </c>
      <c r="F263" s="3" t="str">
        <f t="shared" si="22"/>
        <v>2025</v>
      </c>
      <c r="G263" s="4">
        <f t="shared" si="23"/>
        <v>3</v>
      </c>
      <c r="H263" s="3" t="str">
        <f t="shared" si="24"/>
        <v>Q-1</v>
      </c>
      <c r="I263" t="s">
        <v>503</v>
      </c>
      <c r="J263" t="s">
        <v>39</v>
      </c>
      <c r="K263">
        <v>12</v>
      </c>
      <c r="L263" s="5">
        <v>800</v>
      </c>
      <c r="M263">
        <v>13</v>
      </c>
      <c r="N263" t="s">
        <v>40</v>
      </c>
      <c r="O263" t="s">
        <v>506</v>
      </c>
      <c r="P263" t="s">
        <v>25</v>
      </c>
      <c r="Q263" s="5">
        <f>Table1[[#This Row],[Quantity]]*Table1[[#This Row],[Unit_Price]]</f>
        <v>9600</v>
      </c>
      <c r="R263" t="str">
        <f>IF(Table1[[#This Row],[Delivery_Days]]&lt;=3,"Fast",IF(Table1[[#This Row],[Delivery_Days]]&lt;=7,"Normal","Late"))</f>
        <v>Late</v>
      </c>
    </row>
    <row r="264" spans="1:18" x14ac:dyDescent="0.35">
      <c r="A264" t="s">
        <v>300</v>
      </c>
      <c r="B264" t="str">
        <f t="shared" si="20"/>
        <v>APX1004</v>
      </c>
      <c r="C264" s="3" t="s">
        <v>330</v>
      </c>
      <c r="D264" s="3">
        <f>IF(ISNUMBER(C264), C264, DATE(RIGHT(C264, 4), MATCH(LEFT(C264, 3), {"Jan","Feb","Mar","Apr","May","Jun","Jul","Aug","Sep","Oct","Nov","Dec"}, 0), MID(C264, 5, 2)))</f>
        <v>45687</v>
      </c>
      <c r="E264" s="3" t="str">
        <f t="shared" si="21"/>
        <v>Jan</v>
      </c>
      <c r="F264" s="3" t="str">
        <f t="shared" si="22"/>
        <v>2025</v>
      </c>
      <c r="G264" s="4">
        <f t="shared" si="23"/>
        <v>1</v>
      </c>
      <c r="H264" s="3" t="str">
        <f t="shared" si="24"/>
        <v>Q-1</v>
      </c>
      <c r="I264" t="s">
        <v>11</v>
      </c>
      <c r="J264" t="s">
        <v>32</v>
      </c>
      <c r="K264">
        <v>2500</v>
      </c>
      <c r="L264" s="5">
        <v>800</v>
      </c>
      <c r="M264">
        <v>2</v>
      </c>
      <c r="N264" t="s">
        <v>40</v>
      </c>
      <c r="O264" t="s">
        <v>46</v>
      </c>
      <c r="P264" t="s">
        <v>74</v>
      </c>
      <c r="Q264" s="5">
        <f>Table1[[#This Row],[Quantity]]*Table1[[#This Row],[Unit_Price]]</f>
        <v>2000000</v>
      </c>
      <c r="R264" t="str">
        <f>IF(Table1[[#This Row],[Delivery_Days]]&lt;=3,"Fast",IF(Table1[[#This Row],[Delivery_Days]]&lt;=7,"Normal","Late"))</f>
        <v>Fast</v>
      </c>
    </row>
    <row r="265" spans="1:18" x14ac:dyDescent="0.35">
      <c r="A265" t="s">
        <v>212</v>
      </c>
      <c r="B265" t="str">
        <f t="shared" si="20"/>
        <v>APX1394</v>
      </c>
      <c r="C265" s="3">
        <v>45728</v>
      </c>
      <c r="D265" s="3">
        <f>IF(ISNUMBER(C265), C265, DATE(RIGHT(C265, 4), MATCH(LEFT(C265, 3), {"Jan","Feb","Mar","Apr","May","Jun","Jul","Aug","Sep","Oct","Nov","Dec"}, 0), MID(C265, 5, 2)))</f>
        <v>45728</v>
      </c>
      <c r="E265" s="3" t="str">
        <f t="shared" si="21"/>
        <v>Mar</v>
      </c>
      <c r="F265" s="3" t="str">
        <f t="shared" si="22"/>
        <v>2025</v>
      </c>
      <c r="G265" s="4">
        <f t="shared" si="23"/>
        <v>3</v>
      </c>
      <c r="H265" s="3" t="str">
        <f t="shared" si="24"/>
        <v>Q-1</v>
      </c>
      <c r="I265" t="s">
        <v>17</v>
      </c>
      <c r="J265" t="s">
        <v>32</v>
      </c>
      <c r="K265">
        <v>3</v>
      </c>
      <c r="L265" s="5">
        <v>800</v>
      </c>
      <c r="M265">
        <v>3</v>
      </c>
      <c r="N265" t="s">
        <v>70</v>
      </c>
      <c r="O265" t="s">
        <v>506</v>
      </c>
      <c r="P265" t="s">
        <v>25</v>
      </c>
      <c r="Q265" s="5">
        <f>Table1[[#This Row],[Quantity]]*Table1[[#This Row],[Unit_Price]]</f>
        <v>2400</v>
      </c>
      <c r="R265" t="str">
        <f>IF(Table1[[#This Row],[Delivery_Days]]&lt;=3,"Fast",IF(Table1[[#This Row],[Delivery_Days]]&lt;=7,"Normal","Late"))</f>
        <v>Fast</v>
      </c>
    </row>
    <row r="266" spans="1:18" x14ac:dyDescent="0.35">
      <c r="A266" t="s">
        <v>331</v>
      </c>
      <c r="B266" t="str">
        <f t="shared" si="20"/>
        <v>APX1172</v>
      </c>
      <c r="C266" s="3">
        <v>45769</v>
      </c>
      <c r="D266" s="3">
        <f>IF(ISNUMBER(C266), C266, DATE(RIGHT(C266, 4), MATCH(LEFT(C266, 3), {"Jan","Feb","Mar","Apr","May","Jun","Jul","Aug","Sep","Oct","Nov","Dec"}, 0), MID(C266, 5, 2)))</f>
        <v>45769</v>
      </c>
      <c r="E266" s="3" t="str">
        <f t="shared" si="21"/>
        <v>Apr</v>
      </c>
      <c r="F266" s="3" t="str">
        <f t="shared" si="22"/>
        <v>2025</v>
      </c>
      <c r="G266" s="4">
        <f t="shared" si="23"/>
        <v>4</v>
      </c>
      <c r="H266" s="3" t="str">
        <f t="shared" si="24"/>
        <v>Q-2</v>
      </c>
      <c r="I266" t="s">
        <v>11</v>
      </c>
      <c r="J266" t="s">
        <v>32</v>
      </c>
      <c r="K266">
        <v>2500</v>
      </c>
      <c r="L266" s="5">
        <v>6500</v>
      </c>
      <c r="M266">
        <v>3</v>
      </c>
      <c r="N266" t="s">
        <v>40</v>
      </c>
      <c r="O266" t="s">
        <v>506</v>
      </c>
      <c r="P266" t="s">
        <v>15</v>
      </c>
      <c r="Q266" s="5">
        <f>Table1[[#This Row],[Quantity]]*Table1[[#This Row],[Unit_Price]]</f>
        <v>16250000</v>
      </c>
      <c r="R266" t="str">
        <f>IF(Table1[[#This Row],[Delivery_Days]]&lt;=3,"Fast",IF(Table1[[#This Row],[Delivery_Days]]&lt;=7,"Normal","Late"))</f>
        <v>Fast</v>
      </c>
    </row>
    <row r="267" spans="1:18" x14ac:dyDescent="0.35">
      <c r="A267" t="s">
        <v>203</v>
      </c>
      <c r="B267" t="str">
        <f t="shared" si="20"/>
        <v>APX1026</v>
      </c>
      <c r="C267" s="3">
        <v>45805</v>
      </c>
      <c r="D267" s="3">
        <f>IF(ISNUMBER(C267), C267, DATE(RIGHT(C267, 4), MATCH(LEFT(C267, 3), {"Jan","Feb","Mar","Apr","May","Jun","Jul","Aug","Sep","Oct","Nov","Dec"}, 0), MID(C267, 5, 2)))</f>
        <v>45805</v>
      </c>
      <c r="E267" s="3" t="str">
        <f t="shared" si="21"/>
        <v>May</v>
      </c>
      <c r="F267" s="3" t="str">
        <f t="shared" si="22"/>
        <v>2025</v>
      </c>
      <c r="G267" s="4">
        <f t="shared" si="23"/>
        <v>5</v>
      </c>
      <c r="H267" s="3" t="str">
        <f t="shared" si="24"/>
        <v>Q-2</v>
      </c>
      <c r="I267" t="s">
        <v>17</v>
      </c>
      <c r="J267" t="s">
        <v>28</v>
      </c>
      <c r="K267">
        <v>30</v>
      </c>
      <c r="L267" s="5">
        <v>800</v>
      </c>
      <c r="M267">
        <v>3</v>
      </c>
      <c r="N267" t="s">
        <v>40</v>
      </c>
      <c r="O267" t="s">
        <v>506</v>
      </c>
      <c r="P267" t="s">
        <v>25</v>
      </c>
      <c r="Q267" s="5">
        <f>Table1[[#This Row],[Quantity]]*Table1[[#This Row],[Unit_Price]]</f>
        <v>24000</v>
      </c>
      <c r="R267" t="str">
        <f>IF(Table1[[#This Row],[Delivery_Days]]&lt;=3,"Fast",IF(Table1[[#This Row],[Delivery_Days]]&lt;=7,"Normal","Late"))</f>
        <v>Fast</v>
      </c>
    </row>
    <row r="268" spans="1:18" x14ac:dyDescent="0.35">
      <c r="A268" t="s">
        <v>261</v>
      </c>
      <c r="B268" t="str">
        <f t="shared" si="20"/>
        <v>APX1069</v>
      </c>
      <c r="C268" s="3" t="s">
        <v>190</v>
      </c>
      <c r="D268" s="3">
        <f>IF(ISNUMBER(C268), C268, DATE(RIGHT(C268, 4), MATCH(LEFT(C268, 3), {"Jan","Feb","Mar","Apr","May","Jun","Jul","Aug","Sep","Oct","Nov","Dec"}, 0), MID(C268, 5, 2)))</f>
        <v>45723</v>
      </c>
      <c r="E268" s="3" t="str">
        <f t="shared" si="21"/>
        <v>Mar</v>
      </c>
      <c r="F268" s="3" t="str">
        <f t="shared" si="22"/>
        <v>2025</v>
      </c>
      <c r="G268" s="4">
        <f t="shared" si="23"/>
        <v>3</v>
      </c>
      <c r="H268" s="3" t="str">
        <f t="shared" si="24"/>
        <v>Q-1</v>
      </c>
      <c r="I268" t="s">
        <v>510</v>
      </c>
      <c r="J268" t="s">
        <v>32</v>
      </c>
      <c r="K268">
        <v>30</v>
      </c>
      <c r="L268" s="5">
        <v>49555</v>
      </c>
      <c r="M268">
        <v>95</v>
      </c>
      <c r="N268" t="s">
        <v>40</v>
      </c>
      <c r="O268" t="s">
        <v>14</v>
      </c>
      <c r="P268" t="s">
        <v>25</v>
      </c>
      <c r="Q268" s="5">
        <f>Table1[[#This Row],[Quantity]]*Table1[[#This Row],[Unit_Price]]</f>
        <v>1486650</v>
      </c>
      <c r="R268" t="str">
        <f>IF(Table1[[#This Row],[Delivery_Days]]&lt;=3,"Fast",IF(Table1[[#This Row],[Delivery_Days]]&lt;=7,"Normal","Late"))</f>
        <v>Late</v>
      </c>
    </row>
    <row r="269" spans="1:18" x14ac:dyDescent="0.35">
      <c r="A269" t="s">
        <v>234</v>
      </c>
      <c r="B269" t="str">
        <f t="shared" si="20"/>
        <v>APX1380</v>
      </c>
      <c r="C269" s="3">
        <v>45717</v>
      </c>
      <c r="D269" s="3">
        <f>IF(ISNUMBER(C269), C269, DATE(RIGHT(C269, 4), MATCH(LEFT(C269, 3), {"Jan","Feb","Mar","Apr","May","Jun","Jul","Aug","Sep","Oct","Nov","Dec"}, 0), MID(C269, 5, 2)))</f>
        <v>45717</v>
      </c>
      <c r="E269" s="3" t="str">
        <f t="shared" si="21"/>
        <v>Mar</v>
      </c>
      <c r="F269" s="3" t="str">
        <f t="shared" si="22"/>
        <v>2025</v>
      </c>
      <c r="G269" s="4">
        <f t="shared" si="23"/>
        <v>3</v>
      </c>
      <c r="H269" s="3" t="str">
        <f t="shared" si="24"/>
        <v>Q-1</v>
      </c>
      <c r="I269" t="s">
        <v>503</v>
      </c>
      <c r="J269" t="s">
        <v>64</v>
      </c>
      <c r="K269">
        <v>2500</v>
      </c>
      <c r="L269" s="5">
        <v>10624</v>
      </c>
      <c r="M269">
        <v>3</v>
      </c>
      <c r="N269" t="s">
        <v>70</v>
      </c>
      <c r="O269" t="s">
        <v>506</v>
      </c>
      <c r="P269" t="s">
        <v>74</v>
      </c>
      <c r="Q269" s="5">
        <f>Table1[[#This Row],[Quantity]]*Table1[[#This Row],[Unit_Price]]</f>
        <v>26560000</v>
      </c>
      <c r="R269" t="str">
        <f>IF(Table1[[#This Row],[Delivery_Days]]&lt;=3,"Fast",IF(Table1[[#This Row],[Delivery_Days]]&lt;=7,"Normal","Late"))</f>
        <v>Fast</v>
      </c>
    </row>
    <row r="270" spans="1:18" x14ac:dyDescent="0.35">
      <c r="A270">
        <v>1083</v>
      </c>
      <c r="B270" t="str">
        <f t="shared" si="20"/>
        <v>APX1083</v>
      </c>
      <c r="C270" s="3">
        <v>45806</v>
      </c>
      <c r="D270" s="3">
        <f>IF(ISNUMBER(C270), C270, DATE(RIGHT(C270, 4), MATCH(LEFT(C270, 3), {"Jan","Feb","Mar","Apr","May","Jun","Jul","Aug","Sep","Oct","Nov","Dec"}, 0), MID(C270, 5, 2)))</f>
        <v>45806</v>
      </c>
      <c r="E270" s="3" t="str">
        <f t="shared" si="21"/>
        <v>May</v>
      </c>
      <c r="F270" s="3" t="str">
        <f t="shared" si="22"/>
        <v>2025</v>
      </c>
      <c r="G270" s="4">
        <f t="shared" si="23"/>
        <v>5</v>
      </c>
      <c r="H270" s="3" t="str">
        <f t="shared" si="24"/>
        <v>Q-2</v>
      </c>
      <c r="I270" t="s">
        <v>76</v>
      </c>
      <c r="J270" t="s">
        <v>28</v>
      </c>
      <c r="K270">
        <v>2500</v>
      </c>
      <c r="L270" s="5">
        <v>800</v>
      </c>
      <c r="M270">
        <v>12</v>
      </c>
      <c r="N270" t="s">
        <v>504</v>
      </c>
      <c r="O270" t="s">
        <v>14</v>
      </c>
      <c r="P270" t="s">
        <v>25</v>
      </c>
      <c r="Q270" s="5">
        <f>Table1[[#This Row],[Quantity]]*Table1[[#This Row],[Unit_Price]]</f>
        <v>2000000</v>
      </c>
      <c r="R270" t="str">
        <f>IF(Table1[[#This Row],[Delivery_Days]]&lt;=3,"Fast",IF(Table1[[#This Row],[Delivery_Days]]&lt;=7,"Normal","Late"))</f>
        <v>Late</v>
      </c>
    </row>
    <row r="271" spans="1:18" x14ac:dyDescent="0.35">
      <c r="A271" t="s">
        <v>181</v>
      </c>
      <c r="B271" t="str">
        <f t="shared" si="20"/>
        <v>APX1382</v>
      </c>
      <c r="C271" s="3">
        <v>45987</v>
      </c>
      <c r="D271" s="3">
        <f>IF(ISNUMBER(C271), C271, DATE(RIGHT(C271, 4), MATCH(LEFT(C271, 3), {"Jan","Feb","Mar","Apr","May","Jun","Jul","Aug","Sep","Oct","Nov","Dec"}, 0), MID(C271, 5, 2)))</f>
        <v>45987</v>
      </c>
      <c r="E271" s="3" t="str">
        <f t="shared" si="21"/>
        <v>Nov</v>
      </c>
      <c r="F271" s="3" t="str">
        <f t="shared" si="22"/>
        <v>2025</v>
      </c>
      <c r="G271" s="4">
        <f t="shared" si="23"/>
        <v>11</v>
      </c>
      <c r="H271" s="3" t="str">
        <f t="shared" si="24"/>
        <v>Q-4</v>
      </c>
      <c r="I271" t="s">
        <v>503</v>
      </c>
      <c r="J271" t="s">
        <v>64</v>
      </c>
      <c r="K271">
        <v>30</v>
      </c>
      <c r="L271" s="5">
        <v>850000</v>
      </c>
      <c r="M271">
        <v>95</v>
      </c>
      <c r="N271" t="s">
        <v>70</v>
      </c>
      <c r="O271" t="s">
        <v>46</v>
      </c>
      <c r="P271" t="s">
        <v>25</v>
      </c>
      <c r="Q271" s="5">
        <f>Table1[[#This Row],[Quantity]]*Table1[[#This Row],[Unit_Price]]</f>
        <v>25500000</v>
      </c>
      <c r="R271" t="str">
        <f>IF(Table1[[#This Row],[Delivery_Days]]&lt;=3,"Fast",IF(Table1[[#This Row],[Delivery_Days]]&lt;=7,"Normal","Late"))</f>
        <v>Late</v>
      </c>
    </row>
    <row r="272" spans="1:18" x14ac:dyDescent="0.35">
      <c r="A272" t="s">
        <v>333</v>
      </c>
      <c r="B272" t="str">
        <f t="shared" si="20"/>
        <v>APX1428</v>
      </c>
      <c r="C272" s="3">
        <v>45989</v>
      </c>
      <c r="D272" s="3">
        <f>IF(ISNUMBER(C272), C272, DATE(RIGHT(C272, 4), MATCH(LEFT(C272, 3), {"Jan","Feb","Mar","Apr","May","Jun","Jul","Aug","Sep","Oct","Nov","Dec"}, 0), MID(C272, 5, 2)))</f>
        <v>45989</v>
      </c>
      <c r="E272" s="3" t="str">
        <f t="shared" si="21"/>
        <v>Nov</v>
      </c>
      <c r="F272" s="3" t="str">
        <f t="shared" si="22"/>
        <v>2025</v>
      </c>
      <c r="G272" s="4">
        <f t="shared" si="23"/>
        <v>11</v>
      </c>
      <c r="H272" s="3" t="str">
        <f t="shared" si="24"/>
        <v>Q-4</v>
      </c>
      <c r="I272" t="s">
        <v>76</v>
      </c>
      <c r="J272" t="s">
        <v>32</v>
      </c>
      <c r="K272">
        <v>30</v>
      </c>
      <c r="L272" s="5">
        <v>6500</v>
      </c>
      <c r="M272">
        <v>12</v>
      </c>
      <c r="N272" t="s">
        <v>40</v>
      </c>
      <c r="O272" t="s">
        <v>14</v>
      </c>
      <c r="P272" t="s">
        <v>74</v>
      </c>
      <c r="Q272" s="5">
        <f>Table1[[#This Row],[Quantity]]*Table1[[#This Row],[Unit_Price]]</f>
        <v>195000</v>
      </c>
      <c r="R272" t="str">
        <f>IF(Table1[[#This Row],[Delivery_Days]]&lt;=3,"Fast",IF(Table1[[#This Row],[Delivery_Days]]&lt;=7,"Normal","Late"))</f>
        <v>Late</v>
      </c>
    </row>
    <row r="273" spans="1:18" x14ac:dyDescent="0.35">
      <c r="A273" t="s">
        <v>334</v>
      </c>
      <c r="B273" t="str">
        <f t="shared" si="20"/>
        <v>APX1100</v>
      </c>
      <c r="C273" s="3">
        <v>45948</v>
      </c>
      <c r="D273" s="3">
        <f>IF(ISNUMBER(C273), C273, DATE(RIGHT(C273, 4), MATCH(LEFT(C273, 3), {"Jan","Feb","Mar","Apr","May","Jun","Jul","Aug","Sep","Oct","Nov","Dec"}, 0), MID(C273, 5, 2)))</f>
        <v>45948</v>
      </c>
      <c r="E273" s="3" t="str">
        <f t="shared" si="21"/>
        <v>Oct</v>
      </c>
      <c r="F273" s="3" t="str">
        <f t="shared" si="22"/>
        <v>2025</v>
      </c>
      <c r="G273" s="4">
        <f t="shared" si="23"/>
        <v>10</v>
      </c>
      <c r="H273" s="3" t="str">
        <f t="shared" si="24"/>
        <v>Q-4</v>
      </c>
      <c r="I273" t="s">
        <v>11</v>
      </c>
      <c r="J273" t="s">
        <v>32</v>
      </c>
      <c r="K273">
        <v>179</v>
      </c>
      <c r="L273" s="5">
        <v>6500</v>
      </c>
      <c r="M273">
        <v>95</v>
      </c>
      <c r="N273" t="s">
        <v>40</v>
      </c>
      <c r="O273" t="s">
        <v>506</v>
      </c>
      <c r="P273" t="s">
        <v>42</v>
      </c>
      <c r="Q273" s="5">
        <f>Table1[[#This Row],[Quantity]]*Table1[[#This Row],[Unit_Price]]</f>
        <v>1163500</v>
      </c>
      <c r="R273" t="str">
        <f>IF(Table1[[#This Row],[Delivery_Days]]&lt;=3,"Fast",IF(Table1[[#This Row],[Delivery_Days]]&lt;=7,"Normal","Late"))</f>
        <v>Late</v>
      </c>
    </row>
    <row r="274" spans="1:18" x14ac:dyDescent="0.35">
      <c r="A274" t="s">
        <v>335</v>
      </c>
      <c r="B274" t="str">
        <f t="shared" si="20"/>
        <v>APX1075</v>
      </c>
      <c r="C274" s="3">
        <v>45798</v>
      </c>
      <c r="D274" s="3">
        <f>IF(ISNUMBER(C274), C274, DATE(RIGHT(C274, 4), MATCH(LEFT(C274, 3), {"Jan","Feb","Mar","Apr","May","Jun","Jul","Aug","Sep","Oct","Nov","Dec"}, 0), MID(C274, 5, 2)))</f>
        <v>45798</v>
      </c>
      <c r="E274" s="3" t="str">
        <f t="shared" si="21"/>
        <v>May</v>
      </c>
      <c r="F274" s="3" t="str">
        <f t="shared" si="22"/>
        <v>2025</v>
      </c>
      <c r="G274" s="4">
        <f t="shared" si="23"/>
        <v>5</v>
      </c>
      <c r="H274" s="3" t="str">
        <f t="shared" si="24"/>
        <v>Q-2</v>
      </c>
      <c r="I274" t="s">
        <v>76</v>
      </c>
      <c r="J274" t="s">
        <v>64</v>
      </c>
      <c r="K274">
        <v>12</v>
      </c>
      <c r="L274" s="5">
        <v>6500</v>
      </c>
      <c r="M274">
        <v>95</v>
      </c>
      <c r="N274" t="s">
        <v>40</v>
      </c>
      <c r="O274" t="s">
        <v>46</v>
      </c>
      <c r="P274" t="s">
        <v>74</v>
      </c>
      <c r="Q274" s="5">
        <f>Table1[[#This Row],[Quantity]]*Table1[[#This Row],[Unit_Price]]</f>
        <v>78000</v>
      </c>
      <c r="R274" t="str">
        <f>IF(Table1[[#This Row],[Delivery_Days]]&lt;=3,"Fast",IF(Table1[[#This Row],[Delivery_Days]]&lt;=7,"Normal","Late"))</f>
        <v>Late</v>
      </c>
    </row>
    <row r="275" spans="1:18" x14ac:dyDescent="0.35">
      <c r="A275" t="s">
        <v>336</v>
      </c>
      <c r="B275" t="str">
        <f t="shared" si="20"/>
        <v>APX1237</v>
      </c>
      <c r="C275" s="3" t="s">
        <v>337</v>
      </c>
      <c r="D275" s="3">
        <f>IF(ISNUMBER(C275), C275, DATE(RIGHT(C275, 4), MATCH(LEFT(C275, 3), {"Jan","Feb","Mar","Apr","May","Jun","Jul","Aug","Sep","Oct","Nov","Dec"}, 0), MID(C275, 5, 2)))</f>
        <v>45980</v>
      </c>
      <c r="E275" s="3" t="str">
        <f t="shared" si="21"/>
        <v>Nov</v>
      </c>
      <c r="F275" s="3" t="str">
        <f t="shared" si="22"/>
        <v>2025</v>
      </c>
      <c r="G275" s="4">
        <f t="shared" si="23"/>
        <v>11</v>
      </c>
      <c r="H275" s="3" t="str">
        <f t="shared" si="24"/>
        <v>Q-4</v>
      </c>
      <c r="I275" t="s">
        <v>503</v>
      </c>
      <c r="J275" t="s">
        <v>89</v>
      </c>
      <c r="K275">
        <v>30</v>
      </c>
      <c r="L275" s="5">
        <v>9235</v>
      </c>
      <c r="M275">
        <v>3</v>
      </c>
      <c r="N275" t="s">
        <v>505</v>
      </c>
      <c r="O275" t="s">
        <v>506</v>
      </c>
      <c r="P275" t="s">
        <v>25</v>
      </c>
      <c r="Q275" s="5">
        <f>Table1[[#This Row],[Quantity]]*Table1[[#This Row],[Unit_Price]]</f>
        <v>277050</v>
      </c>
      <c r="R275" t="str">
        <f>IF(Table1[[#This Row],[Delivery_Days]]&lt;=3,"Fast",IF(Table1[[#This Row],[Delivery_Days]]&lt;=7,"Normal","Late"))</f>
        <v>Fast</v>
      </c>
    </row>
    <row r="276" spans="1:18" x14ac:dyDescent="0.35">
      <c r="A276" t="s">
        <v>26</v>
      </c>
      <c r="B276" t="str">
        <f t="shared" si="20"/>
        <v>APX1213</v>
      </c>
      <c r="C276" s="3">
        <v>45960</v>
      </c>
      <c r="D276" s="3">
        <f>IF(ISNUMBER(C276), C276, DATE(RIGHT(C276, 4), MATCH(LEFT(C276, 3), {"Jan","Feb","Mar","Apr","May","Jun","Jul","Aug","Sep","Oct","Nov","Dec"}, 0), MID(C276, 5, 2)))</f>
        <v>45960</v>
      </c>
      <c r="E276" s="3" t="str">
        <f t="shared" si="21"/>
        <v>Oct</v>
      </c>
      <c r="F276" s="3" t="str">
        <f t="shared" si="22"/>
        <v>2025</v>
      </c>
      <c r="G276" s="4">
        <f t="shared" si="23"/>
        <v>10</v>
      </c>
      <c r="H276" s="3" t="str">
        <f t="shared" si="24"/>
        <v>Q-4</v>
      </c>
      <c r="I276" t="s">
        <v>11</v>
      </c>
      <c r="J276" t="s">
        <v>73</v>
      </c>
      <c r="K276">
        <v>30</v>
      </c>
      <c r="L276" s="5">
        <v>4500</v>
      </c>
      <c r="M276">
        <v>95</v>
      </c>
      <c r="N276" t="s">
        <v>40</v>
      </c>
      <c r="O276" t="s">
        <v>14</v>
      </c>
      <c r="P276" t="s">
        <v>74</v>
      </c>
      <c r="Q276" s="5">
        <f>Table1[[#This Row],[Quantity]]*Table1[[#This Row],[Unit_Price]]</f>
        <v>135000</v>
      </c>
      <c r="R276" t="str">
        <f>IF(Table1[[#This Row],[Delivery_Days]]&lt;=3,"Fast",IF(Table1[[#This Row],[Delivery_Days]]&lt;=7,"Normal","Late"))</f>
        <v>Late</v>
      </c>
    </row>
    <row r="277" spans="1:18" x14ac:dyDescent="0.35">
      <c r="A277" t="s">
        <v>338</v>
      </c>
      <c r="B277" t="str">
        <f t="shared" si="20"/>
        <v>APX1017</v>
      </c>
      <c r="C277" s="3" t="s">
        <v>262</v>
      </c>
      <c r="D277" s="3">
        <f>IF(ISNUMBER(C277), C277, DATE(RIGHT(C277, 4), MATCH(LEFT(C277, 3), {"Jan","Feb","Mar","Apr","May","Jun","Jul","Aug","Sep","Oct","Nov","Dec"}, 0), MID(C277, 5, 2)))</f>
        <v>45896</v>
      </c>
      <c r="E277" s="3" t="str">
        <f t="shared" si="21"/>
        <v>Aug</v>
      </c>
      <c r="F277" s="3" t="str">
        <f t="shared" si="22"/>
        <v>2025</v>
      </c>
      <c r="G277" s="4">
        <f t="shared" si="23"/>
        <v>8</v>
      </c>
      <c r="H277" s="3" t="str">
        <f t="shared" si="24"/>
        <v>Q-3</v>
      </c>
      <c r="I277" t="s">
        <v>76</v>
      </c>
      <c r="J277" t="s">
        <v>32</v>
      </c>
      <c r="K277">
        <v>2500</v>
      </c>
      <c r="L277" s="5">
        <v>850000</v>
      </c>
      <c r="M277">
        <v>10</v>
      </c>
      <c r="N277" t="s">
        <v>40</v>
      </c>
      <c r="O277" t="s">
        <v>14</v>
      </c>
      <c r="P277" t="s">
        <v>25</v>
      </c>
      <c r="Q277" s="5">
        <f>Table1[[#This Row],[Quantity]]*Table1[[#This Row],[Unit_Price]]</f>
        <v>2125000000</v>
      </c>
      <c r="R277" t="str">
        <f>IF(Table1[[#This Row],[Delivery_Days]]&lt;=3,"Fast",IF(Table1[[#This Row],[Delivery_Days]]&lt;=7,"Normal","Late"))</f>
        <v>Late</v>
      </c>
    </row>
    <row r="278" spans="1:18" x14ac:dyDescent="0.35">
      <c r="A278" t="s">
        <v>102</v>
      </c>
      <c r="B278" t="str">
        <f t="shared" si="20"/>
        <v>APX1358</v>
      </c>
      <c r="C278" s="3">
        <v>45768</v>
      </c>
      <c r="D278" s="3">
        <f>IF(ISNUMBER(C278), C278, DATE(RIGHT(C278, 4), MATCH(LEFT(C278, 3), {"Jan","Feb","Mar","Apr","May","Jun","Jul","Aug","Sep","Oct","Nov","Dec"}, 0), MID(C278, 5, 2)))</f>
        <v>45768</v>
      </c>
      <c r="E278" s="3" t="str">
        <f t="shared" si="21"/>
        <v>Apr</v>
      </c>
      <c r="F278" s="3" t="str">
        <f t="shared" si="22"/>
        <v>2025</v>
      </c>
      <c r="G278" s="4">
        <f t="shared" si="23"/>
        <v>4</v>
      </c>
      <c r="H278" s="3" t="str">
        <f t="shared" si="24"/>
        <v>Q-2</v>
      </c>
      <c r="I278" t="s">
        <v>76</v>
      </c>
      <c r="J278" t="s">
        <v>73</v>
      </c>
      <c r="K278">
        <v>30</v>
      </c>
      <c r="L278" s="5">
        <v>800</v>
      </c>
      <c r="M278">
        <v>95</v>
      </c>
      <c r="N278" t="s">
        <v>40</v>
      </c>
      <c r="O278" t="s">
        <v>506</v>
      </c>
      <c r="P278" t="s">
        <v>15</v>
      </c>
      <c r="Q278" s="5">
        <f>Table1[[#This Row],[Quantity]]*Table1[[#This Row],[Unit_Price]]</f>
        <v>24000</v>
      </c>
      <c r="R278" t="str">
        <f>IF(Table1[[#This Row],[Delivery_Days]]&lt;=3,"Fast",IF(Table1[[#This Row],[Delivery_Days]]&lt;=7,"Normal","Late"))</f>
        <v>Late</v>
      </c>
    </row>
    <row r="279" spans="1:18" x14ac:dyDescent="0.35">
      <c r="A279">
        <v>1176</v>
      </c>
      <c r="B279" t="str">
        <f t="shared" si="20"/>
        <v>APX1176</v>
      </c>
      <c r="C279" s="3">
        <v>45858</v>
      </c>
      <c r="D279" s="3">
        <f>IF(ISNUMBER(C279), C279, DATE(RIGHT(C279, 4), MATCH(LEFT(C279, 3), {"Jan","Feb","Mar","Apr","May","Jun","Jul","Aug","Sep","Oct","Nov","Dec"}, 0), MID(C279, 5, 2)))</f>
        <v>45858</v>
      </c>
      <c r="E279" s="3" t="str">
        <f t="shared" si="21"/>
        <v>Jul</v>
      </c>
      <c r="F279" s="3" t="str">
        <f t="shared" si="22"/>
        <v>2025</v>
      </c>
      <c r="G279" s="4">
        <f t="shared" si="23"/>
        <v>7</v>
      </c>
      <c r="H279" s="3" t="str">
        <f t="shared" si="24"/>
        <v>Q-3</v>
      </c>
      <c r="I279" t="s">
        <v>76</v>
      </c>
      <c r="J279" t="s">
        <v>64</v>
      </c>
      <c r="K279">
        <v>2500</v>
      </c>
      <c r="L279" s="5">
        <v>850000</v>
      </c>
      <c r="M279">
        <v>95</v>
      </c>
      <c r="N279" t="s">
        <v>70</v>
      </c>
      <c r="O279" t="s">
        <v>14</v>
      </c>
      <c r="P279" t="s">
        <v>25</v>
      </c>
      <c r="Q279" s="5">
        <f>Table1[[#This Row],[Quantity]]*Table1[[#This Row],[Unit_Price]]</f>
        <v>2125000000</v>
      </c>
      <c r="R279" t="str">
        <f>IF(Table1[[#This Row],[Delivery_Days]]&lt;=3,"Fast",IF(Table1[[#This Row],[Delivery_Days]]&lt;=7,"Normal","Late"))</f>
        <v>Late</v>
      </c>
    </row>
    <row r="280" spans="1:18" x14ac:dyDescent="0.35">
      <c r="A280" t="s">
        <v>267</v>
      </c>
      <c r="B280" t="str">
        <f t="shared" si="20"/>
        <v>APX1239</v>
      </c>
      <c r="C280" s="3">
        <v>45985</v>
      </c>
      <c r="D280" s="3">
        <f>IF(ISNUMBER(C280), C280, DATE(RIGHT(C280, 4), MATCH(LEFT(C280, 3), {"Jan","Feb","Mar","Apr","May","Jun","Jul","Aug","Sep","Oct","Nov","Dec"}, 0), MID(C280, 5, 2)))</f>
        <v>45985</v>
      </c>
      <c r="E280" s="3" t="str">
        <f t="shared" si="21"/>
        <v>Nov</v>
      </c>
      <c r="F280" s="3" t="str">
        <f t="shared" si="22"/>
        <v>2025</v>
      </c>
      <c r="G280" s="4">
        <f t="shared" si="23"/>
        <v>11</v>
      </c>
      <c r="H280" s="3" t="str">
        <f t="shared" si="24"/>
        <v>Q-4</v>
      </c>
      <c r="I280" t="s">
        <v>76</v>
      </c>
      <c r="J280" t="s">
        <v>28</v>
      </c>
      <c r="K280">
        <v>30</v>
      </c>
      <c r="L280" s="5">
        <v>4500</v>
      </c>
      <c r="M280">
        <v>95</v>
      </c>
      <c r="N280" t="s">
        <v>40</v>
      </c>
      <c r="O280" t="s">
        <v>46</v>
      </c>
      <c r="P280" t="s">
        <v>25</v>
      </c>
      <c r="Q280" s="5">
        <f>Table1[[#This Row],[Quantity]]*Table1[[#This Row],[Unit_Price]]</f>
        <v>135000</v>
      </c>
      <c r="R280" t="str">
        <f>IF(Table1[[#This Row],[Delivery_Days]]&lt;=3,"Fast",IF(Table1[[#This Row],[Delivery_Days]]&lt;=7,"Normal","Late"))</f>
        <v>Late</v>
      </c>
    </row>
    <row r="281" spans="1:18" x14ac:dyDescent="0.35">
      <c r="A281" t="s">
        <v>339</v>
      </c>
      <c r="B281" t="str">
        <f t="shared" si="20"/>
        <v>APX1126</v>
      </c>
      <c r="C281" s="3">
        <v>45955</v>
      </c>
      <c r="D281" s="3">
        <f>IF(ISNUMBER(C281), C281, DATE(RIGHT(C281, 4), MATCH(LEFT(C281, 3), {"Jan","Feb","Mar","Apr","May","Jun","Jul","Aug","Sep","Oct","Nov","Dec"}, 0), MID(C281, 5, 2)))</f>
        <v>45955</v>
      </c>
      <c r="E281" s="3" t="str">
        <f t="shared" si="21"/>
        <v>Oct</v>
      </c>
      <c r="F281" s="3" t="str">
        <f t="shared" si="22"/>
        <v>2025</v>
      </c>
      <c r="G281" s="4">
        <f t="shared" si="23"/>
        <v>10</v>
      </c>
      <c r="H281" s="3" t="str">
        <f t="shared" si="24"/>
        <v>Q-4</v>
      </c>
      <c r="I281" t="s">
        <v>502</v>
      </c>
      <c r="J281" t="s">
        <v>39</v>
      </c>
      <c r="K281">
        <v>12</v>
      </c>
      <c r="L281" s="5">
        <v>6500</v>
      </c>
      <c r="M281">
        <v>3</v>
      </c>
      <c r="N281" t="s">
        <v>40</v>
      </c>
      <c r="O281" t="s">
        <v>506</v>
      </c>
      <c r="P281" t="s">
        <v>42</v>
      </c>
      <c r="Q281" s="5">
        <f>Table1[[#This Row],[Quantity]]*Table1[[#This Row],[Unit_Price]]</f>
        <v>78000</v>
      </c>
      <c r="R281" t="str">
        <f>IF(Table1[[#This Row],[Delivery_Days]]&lt;=3,"Fast",IF(Table1[[#This Row],[Delivery_Days]]&lt;=7,"Normal","Late"))</f>
        <v>Fast</v>
      </c>
    </row>
    <row r="282" spans="1:18" x14ac:dyDescent="0.35">
      <c r="A282" t="s">
        <v>178</v>
      </c>
      <c r="B282" t="str">
        <f t="shared" si="20"/>
        <v>APX1403</v>
      </c>
      <c r="C282" s="3" t="s">
        <v>340</v>
      </c>
      <c r="D282" s="3">
        <f>IF(ISNUMBER(C282), C282, DATE(RIGHT(C282, 4), MATCH(LEFT(C282, 3), {"Jan","Feb","Mar","Apr","May","Jun","Jul","Aug","Sep","Oct","Nov","Dec"}, 0), MID(C282, 5, 2)))</f>
        <v>45860</v>
      </c>
      <c r="E282" s="3" t="str">
        <f t="shared" si="21"/>
        <v>Jul</v>
      </c>
      <c r="F282" s="3" t="str">
        <f t="shared" si="22"/>
        <v>2025</v>
      </c>
      <c r="G282" s="4">
        <f t="shared" si="23"/>
        <v>7</v>
      </c>
      <c r="H282" s="3" t="str">
        <f t="shared" si="24"/>
        <v>Q-3</v>
      </c>
      <c r="I282" t="s">
        <v>76</v>
      </c>
      <c r="J282" t="s">
        <v>32</v>
      </c>
      <c r="K282">
        <v>2500</v>
      </c>
      <c r="L282" s="5">
        <v>31423</v>
      </c>
      <c r="M282">
        <v>1</v>
      </c>
      <c r="N282" t="s">
        <v>560</v>
      </c>
      <c r="O282" t="s">
        <v>14</v>
      </c>
      <c r="P282" t="s">
        <v>15</v>
      </c>
      <c r="Q282" s="5">
        <f>Table1[[#This Row],[Quantity]]*Table1[[#This Row],[Unit_Price]]</f>
        <v>78557500</v>
      </c>
      <c r="R282" t="str">
        <f>IF(Table1[[#This Row],[Delivery_Days]]&lt;=3,"Fast",IF(Table1[[#This Row],[Delivery_Days]]&lt;=7,"Normal","Late"))</f>
        <v>Fast</v>
      </c>
    </row>
    <row r="283" spans="1:18" x14ac:dyDescent="0.35">
      <c r="A283" t="s">
        <v>165</v>
      </c>
      <c r="B283" t="str">
        <f t="shared" si="20"/>
        <v>APX1325</v>
      </c>
      <c r="C283" s="3" t="s">
        <v>295</v>
      </c>
      <c r="D283" s="3">
        <f>IF(ISNUMBER(C283), C283, DATE(RIGHT(C283, 4), MATCH(LEFT(C283, 3), {"Jan","Feb","Mar","Apr","May","Jun","Jul","Aug","Sep","Oct","Nov","Dec"}, 0), MID(C283, 5, 2)))</f>
        <v>46009</v>
      </c>
      <c r="E283" s="3" t="str">
        <f t="shared" si="21"/>
        <v>Dec</v>
      </c>
      <c r="F283" s="3" t="str">
        <f t="shared" si="22"/>
        <v>2025</v>
      </c>
      <c r="G283" s="4">
        <f t="shared" si="23"/>
        <v>12</v>
      </c>
      <c r="H283" s="3" t="str">
        <f t="shared" si="24"/>
        <v>Q-4</v>
      </c>
      <c r="I283" t="s">
        <v>76</v>
      </c>
      <c r="J283" t="s">
        <v>28</v>
      </c>
      <c r="K283">
        <v>2500</v>
      </c>
      <c r="L283" s="5">
        <v>800</v>
      </c>
      <c r="M283">
        <v>95</v>
      </c>
      <c r="N283" t="s">
        <v>505</v>
      </c>
      <c r="O283" t="s">
        <v>506</v>
      </c>
      <c r="P283" t="s">
        <v>15</v>
      </c>
      <c r="Q283" s="5">
        <f>Table1[[#This Row],[Quantity]]*Table1[[#This Row],[Unit_Price]]</f>
        <v>2000000</v>
      </c>
      <c r="R283" t="str">
        <f>IF(Table1[[#This Row],[Delivery_Days]]&lt;=3,"Fast",IF(Table1[[#This Row],[Delivery_Days]]&lt;=7,"Normal","Late"))</f>
        <v>Late</v>
      </c>
    </row>
    <row r="284" spans="1:18" x14ac:dyDescent="0.35">
      <c r="A284" t="s">
        <v>341</v>
      </c>
      <c r="B284" t="str">
        <f t="shared" si="20"/>
        <v>APX1106</v>
      </c>
      <c r="C284" s="3" t="s">
        <v>342</v>
      </c>
      <c r="D284" s="3">
        <f>IF(ISNUMBER(C284), C284, DATE(RIGHT(C284, 4), MATCH(LEFT(C284, 3), {"Jan","Feb","Mar","Apr","May","Jun","Jul","Aug","Sep","Oct","Nov","Dec"}, 0), MID(C284, 5, 2)))</f>
        <v>45715</v>
      </c>
      <c r="E284" s="3" t="str">
        <f t="shared" si="21"/>
        <v>Feb</v>
      </c>
      <c r="F284" s="3" t="str">
        <f t="shared" si="22"/>
        <v>2025</v>
      </c>
      <c r="G284" s="4">
        <f t="shared" si="23"/>
        <v>2</v>
      </c>
      <c r="H284" s="3" t="str">
        <f t="shared" si="24"/>
        <v>Q-1</v>
      </c>
      <c r="I284" t="s">
        <v>11</v>
      </c>
      <c r="J284" t="s">
        <v>28</v>
      </c>
      <c r="K284">
        <v>30</v>
      </c>
      <c r="L284" s="5">
        <v>850000</v>
      </c>
      <c r="M284">
        <v>3</v>
      </c>
      <c r="N284" t="s">
        <v>70</v>
      </c>
      <c r="O284" t="s">
        <v>14</v>
      </c>
      <c r="P284" t="s">
        <v>25</v>
      </c>
      <c r="Q284" s="5">
        <f>Table1[[#This Row],[Quantity]]*Table1[[#This Row],[Unit_Price]]</f>
        <v>25500000</v>
      </c>
      <c r="R284" t="str">
        <f>IF(Table1[[#This Row],[Delivery_Days]]&lt;=3,"Fast",IF(Table1[[#This Row],[Delivery_Days]]&lt;=7,"Normal","Late"))</f>
        <v>Fast</v>
      </c>
    </row>
    <row r="285" spans="1:18" x14ac:dyDescent="0.35">
      <c r="A285" t="s">
        <v>343</v>
      </c>
      <c r="B285" t="str">
        <f t="shared" si="20"/>
        <v>APX1422</v>
      </c>
      <c r="C285" s="3" t="s">
        <v>344</v>
      </c>
      <c r="D285" s="3">
        <f>IF(ISNUMBER(C285), C285, DATE(RIGHT(C285, 4), MATCH(LEFT(C285, 3), {"Jan","Feb","Mar","Apr","May","Jun","Jul","Aug","Sep","Oct","Nov","Dec"}, 0), MID(C285, 5, 2)))</f>
        <v>46015</v>
      </c>
      <c r="E285" s="3" t="str">
        <f t="shared" si="21"/>
        <v>Dec</v>
      </c>
      <c r="F285" s="3" t="str">
        <f t="shared" si="22"/>
        <v>2025</v>
      </c>
      <c r="G285" s="4">
        <f t="shared" si="23"/>
        <v>12</v>
      </c>
      <c r="H285" s="3" t="str">
        <f t="shared" si="24"/>
        <v>Q-4</v>
      </c>
      <c r="I285" t="s">
        <v>11</v>
      </c>
      <c r="J285" t="s">
        <v>73</v>
      </c>
      <c r="K285">
        <v>30</v>
      </c>
      <c r="L285" s="5">
        <v>4500</v>
      </c>
      <c r="M285">
        <v>3</v>
      </c>
      <c r="N285" t="s">
        <v>70</v>
      </c>
      <c r="O285" t="s">
        <v>506</v>
      </c>
      <c r="P285" t="s">
        <v>25</v>
      </c>
      <c r="Q285" s="5">
        <f>Table1[[#This Row],[Quantity]]*Table1[[#This Row],[Unit_Price]]</f>
        <v>135000</v>
      </c>
      <c r="R285" t="str">
        <f>IF(Table1[[#This Row],[Delivery_Days]]&lt;=3,"Fast",IF(Table1[[#This Row],[Delivery_Days]]&lt;=7,"Normal","Late"))</f>
        <v>Fast</v>
      </c>
    </row>
    <row r="286" spans="1:18" x14ac:dyDescent="0.35">
      <c r="A286" t="s">
        <v>225</v>
      </c>
      <c r="B286" t="str">
        <f t="shared" si="20"/>
        <v>APX1135</v>
      </c>
      <c r="C286" s="3">
        <v>45685</v>
      </c>
      <c r="D286" s="3">
        <f>IF(ISNUMBER(C286), C286, DATE(RIGHT(C286, 4), MATCH(LEFT(C286, 3), {"Jan","Feb","Mar","Apr","May","Jun","Jul","Aug","Sep","Oct","Nov","Dec"}, 0), MID(C286, 5, 2)))</f>
        <v>45685</v>
      </c>
      <c r="E286" s="3" t="str">
        <f t="shared" si="21"/>
        <v>Jan</v>
      </c>
      <c r="F286" s="3" t="str">
        <f t="shared" si="22"/>
        <v>2025</v>
      </c>
      <c r="G286" s="4">
        <f t="shared" si="23"/>
        <v>1</v>
      </c>
      <c r="H286" s="3" t="str">
        <f t="shared" si="24"/>
        <v>Q-1</v>
      </c>
      <c r="I286" t="s">
        <v>503</v>
      </c>
      <c r="J286" t="s">
        <v>39</v>
      </c>
      <c r="K286">
        <v>11</v>
      </c>
      <c r="L286" s="5">
        <v>4500</v>
      </c>
      <c r="M286">
        <v>95</v>
      </c>
      <c r="N286" t="s">
        <v>70</v>
      </c>
      <c r="O286" t="s">
        <v>14</v>
      </c>
      <c r="P286" t="s">
        <v>74</v>
      </c>
      <c r="Q286" s="5">
        <f>Table1[[#This Row],[Quantity]]*Table1[[#This Row],[Unit_Price]]</f>
        <v>49500</v>
      </c>
      <c r="R286" t="str">
        <f>IF(Table1[[#This Row],[Delivery_Days]]&lt;=3,"Fast",IF(Table1[[#This Row],[Delivery_Days]]&lt;=7,"Normal","Late"))</f>
        <v>Late</v>
      </c>
    </row>
    <row r="287" spans="1:18" x14ac:dyDescent="0.35">
      <c r="A287" t="s">
        <v>345</v>
      </c>
      <c r="B287" t="str">
        <f t="shared" si="20"/>
        <v>APX1295</v>
      </c>
      <c r="C287" s="3">
        <v>45777</v>
      </c>
      <c r="D287" s="3">
        <f>IF(ISNUMBER(C287), C287, DATE(RIGHT(C287, 4), MATCH(LEFT(C287, 3), {"Jan","Feb","Mar","Apr","May","Jun","Jul","Aug","Sep","Oct","Nov","Dec"}, 0), MID(C287, 5, 2)))</f>
        <v>45777</v>
      </c>
      <c r="E287" s="3" t="str">
        <f t="shared" si="21"/>
        <v>Apr</v>
      </c>
      <c r="F287" s="3" t="str">
        <f t="shared" si="22"/>
        <v>2025</v>
      </c>
      <c r="G287" s="4">
        <f t="shared" si="23"/>
        <v>4</v>
      </c>
      <c r="H287" s="3" t="str">
        <f t="shared" si="24"/>
        <v>Q-2</v>
      </c>
      <c r="I287" t="s">
        <v>11</v>
      </c>
      <c r="J287" t="s">
        <v>89</v>
      </c>
      <c r="K287">
        <v>12</v>
      </c>
      <c r="L287" s="5">
        <v>4500</v>
      </c>
      <c r="M287">
        <v>9</v>
      </c>
      <c r="N287" t="s">
        <v>40</v>
      </c>
      <c r="O287" t="s">
        <v>14</v>
      </c>
      <c r="P287" t="s">
        <v>15</v>
      </c>
      <c r="Q287" s="5">
        <f>Table1[[#This Row],[Quantity]]*Table1[[#This Row],[Unit_Price]]</f>
        <v>54000</v>
      </c>
      <c r="R287" t="str">
        <f>IF(Table1[[#This Row],[Delivery_Days]]&lt;=3,"Fast",IF(Table1[[#This Row],[Delivery_Days]]&lt;=7,"Normal","Late"))</f>
        <v>Late</v>
      </c>
    </row>
    <row r="288" spans="1:18" x14ac:dyDescent="0.35">
      <c r="A288">
        <v>1189</v>
      </c>
      <c r="B288" t="str">
        <f t="shared" si="20"/>
        <v>APX1189</v>
      </c>
      <c r="C288" s="3">
        <v>45741</v>
      </c>
      <c r="D288" s="3">
        <f>IF(ISNUMBER(C288), C288, DATE(RIGHT(C288, 4), MATCH(LEFT(C288, 3), {"Jan","Feb","Mar","Apr","May","Jun","Jul","Aug","Sep","Oct","Nov","Dec"}, 0), MID(C288, 5, 2)))</f>
        <v>45741</v>
      </c>
      <c r="E288" s="3" t="str">
        <f t="shared" si="21"/>
        <v>Mar</v>
      </c>
      <c r="F288" s="3" t="str">
        <f t="shared" si="22"/>
        <v>2025</v>
      </c>
      <c r="G288" s="4">
        <f t="shared" si="23"/>
        <v>3</v>
      </c>
      <c r="H288" s="3" t="str">
        <f t="shared" si="24"/>
        <v>Q-1</v>
      </c>
      <c r="I288" t="s">
        <v>76</v>
      </c>
      <c r="J288" t="s">
        <v>32</v>
      </c>
      <c r="K288">
        <v>12</v>
      </c>
      <c r="L288" s="5">
        <v>4500</v>
      </c>
      <c r="M288">
        <v>6</v>
      </c>
      <c r="N288" t="s">
        <v>40</v>
      </c>
      <c r="O288" t="s">
        <v>46</v>
      </c>
      <c r="P288" t="s">
        <v>74</v>
      </c>
      <c r="Q288" s="5">
        <f>Table1[[#This Row],[Quantity]]*Table1[[#This Row],[Unit_Price]]</f>
        <v>54000</v>
      </c>
      <c r="R288" t="str">
        <f>IF(Table1[[#This Row],[Delivery_Days]]&lt;=3,"Fast",IF(Table1[[#This Row],[Delivery_Days]]&lt;=7,"Normal","Late"))</f>
        <v>Normal</v>
      </c>
    </row>
    <row r="289" spans="1:18" x14ac:dyDescent="0.35">
      <c r="A289" t="s">
        <v>346</v>
      </c>
      <c r="B289" t="str">
        <f t="shared" si="20"/>
        <v>APX1292</v>
      </c>
      <c r="C289" s="3">
        <v>45688</v>
      </c>
      <c r="D289" s="3">
        <f>IF(ISNUMBER(C289), C289, DATE(RIGHT(C289, 4), MATCH(LEFT(C289, 3), {"Jan","Feb","Mar","Apr","May","Jun","Jul","Aug","Sep","Oct","Nov","Dec"}, 0), MID(C289, 5, 2)))</f>
        <v>45688</v>
      </c>
      <c r="E289" s="3" t="str">
        <f t="shared" si="21"/>
        <v>Jan</v>
      </c>
      <c r="F289" s="3" t="str">
        <f t="shared" si="22"/>
        <v>2025</v>
      </c>
      <c r="G289" s="4">
        <f t="shared" si="23"/>
        <v>1</v>
      </c>
      <c r="H289" s="3" t="str">
        <f t="shared" si="24"/>
        <v>Q-1</v>
      </c>
      <c r="I289" t="s">
        <v>503</v>
      </c>
      <c r="J289" t="s">
        <v>32</v>
      </c>
      <c r="K289">
        <v>2500</v>
      </c>
      <c r="L289" s="5">
        <v>800</v>
      </c>
      <c r="M289">
        <v>2</v>
      </c>
      <c r="N289" t="s">
        <v>40</v>
      </c>
      <c r="O289" t="s">
        <v>506</v>
      </c>
      <c r="P289" t="s">
        <v>25</v>
      </c>
      <c r="Q289" s="5">
        <f>Table1[[#This Row],[Quantity]]*Table1[[#This Row],[Unit_Price]]</f>
        <v>2000000</v>
      </c>
      <c r="R289" t="str">
        <f>IF(Table1[[#This Row],[Delivery_Days]]&lt;=3,"Fast",IF(Table1[[#This Row],[Delivery_Days]]&lt;=7,"Normal","Late"))</f>
        <v>Fast</v>
      </c>
    </row>
    <row r="290" spans="1:18" x14ac:dyDescent="0.35">
      <c r="A290" t="s">
        <v>122</v>
      </c>
      <c r="B290" t="str">
        <f t="shared" si="20"/>
        <v>APX1204</v>
      </c>
      <c r="C290" s="3" t="s">
        <v>347</v>
      </c>
      <c r="D290" s="3">
        <f>IF(ISNUMBER(C290), C290, DATE(RIGHT(C290, 4), MATCH(LEFT(C290, 3), {"Jan","Feb","Mar","Apr","May","Jun","Jul","Aug","Sep","Oct","Nov","Dec"}, 0), MID(C290, 5, 2)))</f>
        <v>45835</v>
      </c>
      <c r="E290" s="3" t="str">
        <f t="shared" si="21"/>
        <v>Jun</v>
      </c>
      <c r="F290" s="3" t="str">
        <f t="shared" si="22"/>
        <v>2025</v>
      </c>
      <c r="G290" s="4">
        <f t="shared" si="23"/>
        <v>6</v>
      </c>
      <c r="H290" s="3" t="str">
        <f t="shared" si="24"/>
        <v>Q-2</v>
      </c>
      <c r="I290" t="s">
        <v>503</v>
      </c>
      <c r="J290" t="s">
        <v>64</v>
      </c>
      <c r="K290">
        <v>10</v>
      </c>
      <c r="L290" s="5">
        <v>850000</v>
      </c>
      <c r="M290">
        <v>14</v>
      </c>
      <c r="N290" t="s">
        <v>70</v>
      </c>
      <c r="O290" t="s">
        <v>506</v>
      </c>
      <c r="P290" t="s">
        <v>25</v>
      </c>
      <c r="Q290" s="5">
        <f>Table1[[#This Row],[Quantity]]*Table1[[#This Row],[Unit_Price]]</f>
        <v>8500000</v>
      </c>
      <c r="R290" t="str">
        <f>IF(Table1[[#This Row],[Delivery_Days]]&lt;=3,"Fast",IF(Table1[[#This Row],[Delivery_Days]]&lt;=7,"Normal","Late"))</f>
        <v>Late</v>
      </c>
    </row>
    <row r="291" spans="1:18" x14ac:dyDescent="0.35">
      <c r="A291" t="s">
        <v>10</v>
      </c>
      <c r="B291" t="str">
        <f t="shared" si="20"/>
        <v>APX1273</v>
      </c>
      <c r="C291" s="3">
        <v>45841</v>
      </c>
      <c r="D291" s="3">
        <f>IF(ISNUMBER(C291), C291, DATE(RIGHT(C291, 4), MATCH(LEFT(C291, 3), {"Jan","Feb","Mar","Apr","May","Jun","Jul","Aug","Sep","Oct","Nov","Dec"}, 0), MID(C291, 5, 2)))</f>
        <v>45841</v>
      </c>
      <c r="E291" s="3" t="str">
        <f t="shared" si="21"/>
        <v>Jul</v>
      </c>
      <c r="F291" s="3" t="str">
        <f t="shared" si="22"/>
        <v>2025</v>
      </c>
      <c r="G291" s="4">
        <f t="shared" si="23"/>
        <v>7</v>
      </c>
      <c r="H291" s="3" t="str">
        <f t="shared" si="24"/>
        <v>Q-3</v>
      </c>
      <c r="I291" t="s">
        <v>503</v>
      </c>
      <c r="J291" t="s">
        <v>32</v>
      </c>
      <c r="K291">
        <v>18</v>
      </c>
      <c r="L291" s="5">
        <v>29411</v>
      </c>
      <c r="M291">
        <v>6</v>
      </c>
      <c r="N291" t="s">
        <v>40</v>
      </c>
      <c r="O291" t="s">
        <v>506</v>
      </c>
      <c r="P291" t="s">
        <v>74</v>
      </c>
      <c r="Q291" s="5">
        <f>Table1[[#This Row],[Quantity]]*Table1[[#This Row],[Unit_Price]]</f>
        <v>529398</v>
      </c>
      <c r="R291" t="str">
        <f>IF(Table1[[#This Row],[Delivery_Days]]&lt;=3,"Fast",IF(Table1[[#This Row],[Delivery_Days]]&lt;=7,"Normal","Late"))</f>
        <v>Normal</v>
      </c>
    </row>
    <row r="292" spans="1:18" x14ac:dyDescent="0.35">
      <c r="A292" t="s">
        <v>348</v>
      </c>
      <c r="B292" t="str">
        <f t="shared" si="20"/>
        <v>APX1191</v>
      </c>
      <c r="C292" s="3">
        <v>45682</v>
      </c>
      <c r="D292" s="3">
        <f>IF(ISNUMBER(C292), C292, DATE(RIGHT(C292, 4), MATCH(LEFT(C292, 3), {"Jan","Feb","Mar","Apr","May","Jun","Jul","Aug","Sep","Oct","Nov","Dec"}, 0), MID(C292, 5, 2)))</f>
        <v>45682</v>
      </c>
      <c r="E292" s="3" t="str">
        <f t="shared" si="21"/>
        <v>Jan</v>
      </c>
      <c r="F292" s="3" t="str">
        <f t="shared" si="22"/>
        <v>2025</v>
      </c>
      <c r="G292" s="4">
        <f t="shared" si="23"/>
        <v>1</v>
      </c>
      <c r="H292" s="3" t="str">
        <f t="shared" si="24"/>
        <v>Q-1</v>
      </c>
      <c r="I292" t="s">
        <v>502</v>
      </c>
      <c r="J292" t="s">
        <v>73</v>
      </c>
      <c r="K292">
        <v>2500</v>
      </c>
      <c r="L292" s="5">
        <v>4500</v>
      </c>
      <c r="M292">
        <v>13</v>
      </c>
      <c r="N292" t="s">
        <v>560</v>
      </c>
      <c r="O292" t="s">
        <v>506</v>
      </c>
      <c r="P292" t="s">
        <v>25</v>
      </c>
      <c r="Q292" s="5">
        <f>Table1[[#This Row],[Quantity]]*Table1[[#This Row],[Unit_Price]]</f>
        <v>11250000</v>
      </c>
      <c r="R292" t="str">
        <f>IF(Table1[[#This Row],[Delivery_Days]]&lt;=3,"Fast",IF(Table1[[#This Row],[Delivery_Days]]&lt;=7,"Normal","Late"))</f>
        <v>Late</v>
      </c>
    </row>
    <row r="293" spans="1:18" x14ac:dyDescent="0.35">
      <c r="A293" t="s">
        <v>236</v>
      </c>
      <c r="B293" t="str">
        <f t="shared" si="20"/>
        <v>APX1225</v>
      </c>
      <c r="C293" s="3">
        <v>45747</v>
      </c>
      <c r="D293" s="3">
        <f>IF(ISNUMBER(C293), C293, DATE(RIGHT(C293, 4), MATCH(LEFT(C293, 3), {"Jan","Feb","Mar","Apr","May","Jun","Jul","Aug","Sep","Oct","Nov","Dec"}, 0), MID(C293, 5, 2)))</f>
        <v>45747</v>
      </c>
      <c r="E293" s="3" t="str">
        <f t="shared" si="21"/>
        <v>Mar</v>
      </c>
      <c r="F293" s="3" t="str">
        <f t="shared" si="22"/>
        <v>2025</v>
      </c>
      <c r="G293" s="4">
        <f t="shared" si="23"/>
        <v>3</v>
      </c>
      <c r="H293" s="3" t="str">
        <f t="shared" si="24"/>
        <v>Q-1</v>
      </c>
      <c r="I293" t="s">
        <v>510</v>
      </c>
      <c r="J293" t="s">
        <v>32</v>
      </c>
      <c r="K293">
        <v>30</v>
      </c>
      <c r="L293" s="5">
        <v>800</v>
      </c>
      <c r="M293">
        <v>3</v>
      </c>
      <c r="N293" t="s">
        <v>40</v>
      </c>
      <c r="O293" t="s">
        <v>506</v>
      </c>
      <c r="P293" t="s">
        <v>25</v>
      </c>
      <c r="Q293" s="5">
        <f>Table1[[#This Row],[Quantity]]*Table1[[#This Row],[Unit_Price]]</f>
        <v>24000</v>
      </c>
      <c r="R293" t="str">
        <f>IF(Table1[[#This Row],[Delivery_Days]]&lt;=3,"Fast",IF(Table1[[#This Row],[Delivery_Days]]&lt;=7,"Normal","Late"))</f>
        <v>Fast</v>
      </c>
    </row>
    <row r="294" spans="1:18" x14ac:dyDescent="0.35">
      <c r="A294" t="s">
        <v>351</v>
      </c>
      <c r="B294" t="str">
        <f t="shared" si="20"/>
        <v>APX1324</v>
      </c>
      <c r="C294" s="3">
        <v>45751</v>
      </c>
      <c r="D294" s="3">
        <f>IF(ISNUMBER(C294), C294, DATE(RIGHT(C294, 4), MATCH(LEFT(C294, 3), {"Jan","Feb","Mar","Apr","May","Jun","Jul","Aug","Sep","Oct","Nov","Dec"}, 0), MID(C294, 5, 2)))</f>
        <v>45751</v>
      </c>
      <c r="E294" s="3" t="str">
        <f t="shared" si="21"/>
        <v>Apr</v>
      </c>
      <c r="F294" s="3" t="str">
        <f t="shared" si="22"/>
        <v>2025</v>
      </c>
      <c r="G294" s="4">
        <f t="shared" si="23"/>
        <v>4</v>
      </c>
      <c r="H294" s="3" t="str">
        <f t="shared" si="24"/>
        <v>Q-2</v>
      </c>
      <c r="I294" t="s">
        <v>510</v>
      </c>
      <c r="J294" t="s">
        <v>64</v>
      </c>
      <c r="K294">
        <v>30</v>
      </c>
      <c r="L294" s="5">
        <v>46605</v>
      </c>
      <c r="M294">
        <v>95</v>
      </c>
      <c r="N294" t="s">
        <v>40</v>
      </c>
      <c r="O294" t="s">
        <v>506</v>
      </c>
      <c r="P294" t="s">
        <v>25</v>
      </c>
      <c r="Q294" s="5">
        <f>Table1[[#This Row],[Quantity]]*Table1[[#This Row],[Unit_Price]]</f>
        <v>1398150</v>
      </c>
      <c r="R294" t="str">
        <f>IF(Table1[[#This Row],[Delivery_Days]]&lt;=3,"Fast",IF(Table1[[#This Row],[Delivery_Days]]&lt;=7,"Normal","Late"))</f>
        <v>Late</v>
      </c>
    </row>
    <row r="295" spans="1:18" x14ac:dyDescent="0.35">
      <c r="A295" t="s">
        <v>352</v>
      </c>
      <c r="B295" t="str">
        <f t="shared" si="20"/>
        <v>APX1066</v>
      </c>
      <c r="C295" s="3">
        <v>46007</v>
      </c>
      <c r="D295" s="3">
        <f>IF(ISNUMBER(C295), C295, DATE(RIGHT(C295, 4), MATCH(LEFT(C295, 3), {"Jan","Feb","Mar","Apr","May","Jun","Jul","Aug","Sep","Oct","Nov","Dec"}, 0), MID(C295, 5, 2)))</f>
        <v>46007</v>
      </c>
      <c r="E295" s="3" t="str">
        <f t="shared" si="21"/>
        <v>Dec</v>
      </c>
      <c r="F295" s="3" t="str">
        <f t="shared" si="22"/>
        <v>2025</v>
      </c>
      <c r="G295" s="4">
        <f t="shared" si="23"/>
        <v>12</v>
      </c>
      <c r="H295" s="3" t="str">
        <f t="shared" si="24"/>
        <v>Q-4</v>
      </c>
      <c r="I295" t="s">
        <v>76</v>
      </c>
      <c r="J295" t="s">
        <v>89</v>
      </c>
      <c r="K295">
        <v>30</v>
      </c>
      <c r="L295" s="5">
        <v>38968</v>
      </c>
      <c r="M295">
        <v>5</v>
      </c>
      <c r="N295" t="s">
        <v>40</v>
      </c>
      <c r="O295" t="s">
        <v>506</v>
      </c>
      <c r="P295" t="s">
        <v>42</v>
      </c>
      <c r="Q295" s="5">
        <f>Table1[[#This Row],[Quantity]]*Table1[[#This Row],[Unit_Price]]</f>
        <v>1169040</v>
      </c>
      <c r="R295" t="str">
        <f>IF(Table1[[#This Row],[Delivery_Days]]&lt;=3,"Fast",IF(Table1[[#This Row],[Delivery_Days]]&lt;=7,"Normal","Late"))</f>
        <v>Normal</v>
      </c>
    </row>
    <row r="296" spans="1:18" x14ac:dyDescent="0.35">
      <c r="A296" t="s">
        <v>353</v>
      </c>
      <c r="B296" t="str">
        <f t="shared" si="20"/>
        <v>APX1286</v>
      </c>
      <c r="C296" s="3" t="s">
        <v>272</v>
      </c>
      <c r="D296" s="3">
        <f>IF(ISNUMBER(C296), C296, DATE(RIGHT(C296, 4), MATCH(LEFT(C296, 3), {"Jan","Feb","Mar","Apr","May","Jun","Jul","Aug","Sep","Oct","Nov","Dec"}, 0), MID(C296, 5, 2)))</f>
        <v>45880</v>
      </c>
      <c r="E296" s="3" t="str">
        <f t="shared" si="21"/>
        <v>Aug</v>
      </c>
      <c r="F296" s="3" t="str">
        <f t="shared" si="22"/>
        <v>2025</v>
      </c>
      <c r="G296" s="4">
        <f t="shared" si="23"/>
        <v>8</v>
      </c>
      <c r="H296" s="3" t="str">
        <f t="shared" si="24"/>
        <v>Q-3</v>
      </c>
      <c r="I296" t="s">
        <v>76</v>
      </c>
      <c r="J296" t="s">
        <v>39</v>
      </c>
      <c r="K296">
        <v>30</v>
      </c>
      <c r="L296" s="5">
        <v>6500</v>
      </c>
      <c r="M296">
        <v>95</v>
      </c>
      <c r="N296" t="s">
        <v>40</v>
      </c>
      <c r="O296" t="s">
        <v>46</v>
      </c>
      <c r="P296" t="s">
        <v>74</v>
      </c>
      <c r="Q296" s="5">
        <f>Table1[[#This Row],[Quantity]]*Table1[[#This Row],[Unit_Price]]</f>
        <v>195000</v>
      </c>
      <c r="R296" t="str">
        <f>IF(Table1[[#This Row],[Delivery_Days]]&lt;=3,"Fast",IF(Table1[[#This Row],[Delivery_Days]]&lt;=7,"Normal","Late"))</f>
        <v>Late</v>
      </c>
    </row>
    <row r="297" spans="1:18" x14ac:dyDescent="0.35">
      <c r="A297" t="s">
        <v>315</v>
      </c>
      <c r="B297" t="str">
        <f t="shared" si="20"/>
        <v>APX1014</v>
      </c>
      <c r="C297" s="3">
        <v>45997</v>
      </c>
      <c r="D297" s="3">
        <f>IF(ISNUMBER(C297), C297, DATE(RIGHT(C297, 4), MATCH(LEFT(C297, 3), {"Jan","Feb","Mar","Apr","May","Jun","Jul","Aug","Sep","Oct","Nov","Dec"}, 0), MID(C297, 5, 2)))</f>
        <v>45997</v>
      </c>
      <c r="E297" s="3" t="str">
        <f t="shared" si="21"/>
        <v>Dec</v>
      </c>
      <c r="F297" s="3" t="str">
        <f t="shared" si="22"/>
        <v>2025</v>
      </c>
      <c r="G297" s="4">
        <f t="shared" si="23"/>
        <v>12</v>
      </c>
      <c r="H297" s="3" t="str">
        <f t="shared" si="24"/>
        <v>Q-4</v>
      </c>
      <c r="I297" t="s">
        <v>17</v>
      </c>
      <c r="J297" t="s">
        <v>32</v>
      </c>
      <c r="K297">
        <v>2500</v>
      </c>
      <c r="L297" s="5">
        <v>850000</v>
      </c>
      <c r="M297">
        <v>5</v>
      </c>
      <c r="N297" t="s">
        <v>40</v>
      </c>
      <c r="O297" t="s">
        <v>506</v>
      </c>
      <c r="P297" t="s">
        <v>15</v>
      </c>
      <c r="Q297" s="5">
        <f>Table1[[#This Row],[Quantity]]*Table1[[#This Row],[Unit_Price]]</f>
        <v>2125000000</v>
      </c>
      <c r="R297" t="str">
        <f>IF(Table1[[#This Row],[Delivery_Days]]&lt;=3,"Fast",IF(Table1[[#This Row],[Delivery_Days]]&lt;=7,"Normal","Late"))</f>
        <v>Normal</v>
      </c>
    </row>
    <row r="298" spans="1:18" x14ac:dyDescent="0.35">
      <c r="A298" t="s">
        <v>354</v>
      </c>
      <c r="B298" t="str">
        <f t="shared" si="20"/>
        <v>APX1414</v>
      </c>
      <c r="C298" s="3" t="s">
        <v>355</v>
      </c>
      <c r="D298" s="3">
        <f>IF(ISNUMBER(C298), C298, DATE(RIGHT(C298, 4), MATCH(LEFT(C298, 3), {"Jan","Feb","Mar","Apr","May","Jun","Jul","Aug","Sep","Oct","Nov","Dec"}, 0), MID(C298, 5, 2)))</f>
        <v>45706</v>
      </c>
      <c r="E298" s="3" t="str">
        <f t="shared" si="21"/>
        <v>Feb</v>
      </c>
      <c r="F298" s="3" t="str">
        <f t="shared" si="22"/>
        <v>2025</v>
      </c>
      <c r="G298" s="4">
        <f t="shared" si="23"/>
        <v>2</v>
      </c>
      <c r="H298" s="3" t="str">
        <f t="shared" si="24"/>
        <v>Q-1</v>
      </c>
      <c r="I298" t="s">
        <v>510</v>
      </c>
      <c r="J298" t="s">
        <v>39</v>
      </c>
      <c r="K298">
        <v>21</v>
      </c>
      <c r="L298" s="5">
        <v>800</v>
      </c>
      <c r="M298">
        <v>14</v>
      </c>
      <c r="N298" t="s">
        <v>40</v>
      </c>
      <c r="O298" t="s">
        <v>506</v>
      </c>
      <c r="P298" t="s">
        <v>15</v>
      </c>
      <c r="Q298" s="5">
        <f>Table1[[#This Row],[Quantity]]*Table1[[#This Row],[Unit_Price]]</f>
        <v>16800</v>
      </c>
      <c r="R298" t="str">
        <f>IF(Table1[[#This Row],[Delivery_Days]]&lt;=3,"Fast",IF(Table1[[#This Row],[Delivery_Days]]&lt;=7,"Normal","Late"))</f>
        <v>Late</v>
      </c>
    </row>
    <row r="299" spans="1:18" x14ac:dyDescent="0.35">
      <c r="A299" t="s">
        <v>356</v>
      </c>
      <c r="B299" t="str">
        <f t="shared" si="20"/>
        <v>APX1320</v>
      </c>
      <c r="C299" s="3">
        <v>45970</v>
      </c>
      <c r="D299" s="3">
        <f>IF(ISNUMBER(C299), C299, DATE(RIGHT(C299, 4), MATCH(LEFT(C299, 3), {"Jan","Feb","Mar","Apr","May","Jun","Jul","Aug","Sep","Oct","Nov","Dec"}, 0), MID(C299, 5, 2)))</f>
        <v>45970</v>
      </c>
      <c r="E299" s="3" t="str">
        <f t="shared" si="21"/>
        <v>Nov</v>
      </c>
      <c r="F299" s="3" t="str">
        <f t="shared" si="22"/>
        <v>2025</v>
      </c>
      <c r="G299" s="4">
        <f t="shared" si="23"/>
        <v>11</v>
      </c>
      <c r="H299" s="3" t="str">
        <f t="shared" si="24"/>
        <v>Q-4</v>
      </c>
      <c r="I299" t="s">
        <v>11</v>
      </c>
      <c r="J299" t="s">
        <v>39</v>
      </c>
      <c r="K299">
        <v>30</v>
      </c>
      <c r="L299" s="5">
        <v>4500</v>
      </c>
      <c r="M299">
        <v>1</v>
      </c>
      <c r="N299" t="s">
        <v>560</v>
      </c>
      <c r="O299" t="s">
        <v>506</v>
      </c>
      <c r="P299" t="s">
        <v>25</v>
      </c>
      <c r="Q299" s="5">
        <f>Table1[[#This Row],[Quantity]]*Table1[[#This Row],[Unit_Price]]</f>
        <v>135000</v>
      </c>
      <c r="R299" t="str">
        <f>IF(Table1[[#This Row],[Delivery_Days]]&lt;=3,"Fast",IF(Table1[[#This Row],[Delivery_Days]]&lt;=7,"Normal","Late"))</f>
        <v>Fast</v>
      </c>
    </row>
    <row r="300" spans="1:18" x14ac:dyDescent="0.35">
      <c r="A300" t="s">
        <v>357</v>
      </c>
      <c r="B300" t="str">
        <f t="shared" si="20"/>
        <v>APX1060</v>
      </c>
      <c r="C300" s="3">
        <v>45722</v>
      </c>
      <c r="D300" s="3">
        <f>IF(ISNUMBER(C300), C300, DATE(RIGHT(C300, 4), MATCH(LEFT(C300, 3), {"Jan","Feb","Mar","Apr","May","Jun","Jul","Aug","Sep","Oct","Nov","Dec"}, 0), MID(C300, 5, 2)))</f>
        <v>45722</v>
      </c>
      <c r="E300" s="3" t="str">
        <f t="shared" si="21"/>
        <v>Mar</v>
      </c>
      <c r="F300" s="3" t="str">
        <f t="shared" si="22"/>
        <v>2025</v>
      </c>
      <c r="G300" s="4">
        <f t="shared" si="23"/>
        <v>3</v>
      </c>
      <c r="H300" s="3" t="str">
        <f t="shared" si="24"/>
        <v>Q-1</v>
      </c>
      <c r="I300" t="s">
        <v>76</v>
      </c>
      <c r="J300" t="s">
        <v>73</v>
      </c>
      <c r="K300">
        <v>12</v>
      </c>
      <c r="L300" s="5">
        <v>6500</v>
      </c>
      <c r="M300">
        <v>95</v>
      </c>
      <c r="N300" t="s">
        <v>505</v>
      </c>
      <c r="O300" t="s">
        <v>14</v>
      </c>
      <c r="P300" t="s">
        <v>74</v>
      </c>
      <c r="Q300" s="5">
        <f>Table1[[#This Row],[Quantity]]*Table1[[#This Row],[Unit_Price]]</f>
        <v>78000</v>
      </c>
      <c r="R300" t="str">
        <f>IF(Table1[[#This Row],[Delivery_Days]]&lt;=3,"Fast",IF(Table1[[#This Row],[Delivery_Days]]&lt;=7,"Normal","Late"))</f>
        <v>Late</v>
      </c>
    </row>
    <row r="301" spans="1:18" x14ac:dyDescent="0.35">
      <c r="A301" t="s">
        <v>237</v>
      </c>
      <c r="B301" t="str">
        <f t="shared" si="20"/>
        <v>APX1360</v>
      </c>
      <c r="C301" s="3">
        <v>45935</v>
      </c>
      <c r="D301" s="3">
        <f>IF(ISNUMBER(C301), C301, DATE(RIGHT(C301, 4), MATCH(LEFT(C301, 3), {"Jan","Feb","Mar","Apr","May","Jun","Jul","Aug","Sep","Oct","Nov","Dec"}, 0), MID(C301, 5, 2)))</f>
        <v>45935</v>
      </c>
      <c r="E301" s="3" t="str">
        <f t="shared" si="21"/>
        <v>Oct</v>
      </c>
      <c r="F301" s="3" t="str">
        <f t="shared" si="22"/>
        <v>2025</v>
      </c>
      <c r="G301" s="4">
        <f t="shared" si="23"/>
        <v>10</v>
      </c>
      <c r="H301" s="3" t="str">
        <f t="shared" si="24"/>
        <v>Q-4</v>
      </c>
      <c r="I301" t="s">
        <v>76</v>
      </c>
      <c r="J301" t="s">
        <v>32</v>
      </c>
      <c r="K301">
        <v>2500</v>
      </c>
      <c r="L301" s="5">
        <v>800</v>
      </c>
      <c r="M301">
        <v>3</v>
      </c>
      <c r="N301" t="s">
        <v>70</v>
      </c>
      <c r="O301" t="s">
        <v>14</v>
      </c>
      <c r="P301" t="s">
        <v>25</v>
      </c>
      <c r="Q301" s="5">
        <f>Table1[[#This Row],[Quantity]]*Table1[[#This Row],[Unit_Price]]</f>
        <v>2000000</v>
      </c>
      <c r="R301" t="str">
        <f>IF(Table1[[#This Row],[Delivery_Days]]&lt;=3,"Fast",IF(Table1[[#This Row],[Delivery_Days]]&lt;=7,"Normal","Late"))</f>
        <v>Fast</v>
      </c>
    </row>
    <row r="302" spans="1:18" x14ac:dyDescent="0.35">
      <c r="A302" t="s">
        <v>358</v>
      </c>
      <c r="B302" t="str">
        <f t="shared" si="20"/>
        <v>APX1099</v>
      </c>
      <c r="C302" s="3">
        <v>45998</v>
      </c>
      <c r="D302" s="3">
        <f>IF(ISNUMBER(C302), C302, DATE(RIGHT(C302, 4), MATCH(LEFT(C302, 3), {"Jan","Feb","Mar","Apr","May","Jun","Jul","Aug","Sep","Oct","Nov","Dec"}, 0), MID(C302, 5, 2)))</f>
        <v>45998</v>
      </c>
      <c r="E302" s="3" t="str">
        <f t="shared" si="21"/>
        <v>Dec</v>
      </c>
      <c r="F302" s="3" t="str">
        <f t="shared" si="22"/>
        <v>2025</v>
      </c>
      <c r="G302" s="4">
        <f t="shared" si="23"/>
        <v>12</v>
      </c>
      <c r="H302" s="3" t="str">
        <f t="shared" si="24"/>
        <v>Q-4</v>
      </c>
      <c r="I302" t="s">
        <v>76</v>
      </c>
      <c r="J302" t="s">
        <v>32</v>
      </c>
      <c r="K302">
        <v>12</v>
      </c>
      <c r="L302" s="5">
        <v>6500</v>
      </c>
      <c r="M302">
        <v>95</v>
      </c>
      <c r="N302" t="s">
        <v>70</v>
      </c>
      <c r="O302" t="s">
        <v>46</v>
      </c>
      <c r="P302" t="s">
        <v>25</v>
      </c>
      <c r="Q302" s="5">
        <f>Table1[[#This Row],[Quantity]]*Table1[[#This Row],[Unit_Price]]</f>
        <v>78000</v>
      </c>
      <c r="R302" t="str">
        <f>IF(Table1[[#This Row],[Delivery_Days]]&lt;=3,"Fast",IF(Table1[[#This Row],[Delivery_Days]]&lt;=7,"Normal","Late"))</f>
        <v>Late</v>
      </c>
    </row>
    <row r="303" spans="1:18" x14ac:dyDescent="0.35">
      <c r="A303" t="s">
        <v>269</v>
      </c>
      <c r="B303" t="str">
        <f t="shared" si="20"/>
        <v>APX1231</v>
      </c>
      <c r="C303" s="3">
        <v>45911</v>
      </c>
      <c r="D303" s="3">
        <f>IF(ISNUMBER(C303), C303, DATE(RIGHT(C303, 4), MATCH(LEFT(C303, 3), {"Jan","Feb","Mar","Apr","May","Jun","Jul","Aug","Sep","Oct","Nov","Dec"}, 0), MID(C303, 5, 2)))</f>
        <v>45911</v>
      </c>
      <c r="E303" s="3" t="str">
        <f t="shared" si="21"/>
        <v>Sep</v>
      </c>
      <c r="F303" s="3" t="str">
        <f t="shared" si="22"/>
        <v>2025</v>
      </c>
      <c r="G303" s="4">
        <f t="shared" si="23"/>
        <v>9</v>
      </c>
      <c r="H303" s="3" t="str">
        <f t="shared" si="24"/>
        <v>Q-4</v>
      </c>
      <c r="I303" t="s">
        <v>502</v>
      </c>
      <c r="J303" t="s">
        <v>89</v>
      </c>
      <c r="K303">
        <v>141</v>
      </c>
      <c r="L303" s="5">
        <v>4500</v>
      </c>
      <c r="M303">
        <v>3</v>
      </c>
      <c r="N303" t="s">
        <v>70</v>
      </c>
      <c r="O303" t="s">
        <v>506</v>
      </c>
      <c r="P303" t="s">
        <v>25</v>
      </c>
      <c r="Q303" s="5">
        <f>Table1[[#This Row],[Quantity]]*Table1[[#This Row],[Unit_Price]]</f>
        <v>634500</v>
      </c>
      <c r="R303" t="str">
        <f>IF(Table1[[#This Row],[Delivery_Days]]&lt;=3,"Fast",IF(Table1[[#This Row],[Delivery_Days]]&lt;=7,"Normal","Late"))</f>
        <v>Fast</v>
      </c>
    </row>
    <row r="304" spans="1:18" x14ac:dyDescent="0.35">
      <c r="A304" t="s">
        <v>359</v>
      </c>
      <c r="B304" t="str">
        <f t="shared" si="20"/>
        <v>APX1077</v>
      </c>
      <c r="C304" s="3">
        <v>45990</v>
      </c>
      <c r="D304" s="3">
        <f>IF(ISNUMBER(C304), C304, DATE(RIGHT(C304, 4), MATCH(LEFT(C304, 3), {"Jan","Feb","Mar","Apr","May","Jun","Jul","Aug","Sep","Oct","Nov","Dec"}, 0), MID(C304, 5, 2)))</f>
        <v>45990</v>
      </c>
      <c r="E304" s="3" t="str">
        <f t="shared" si="21"/>
        <v>Nov</v>
      </c>
      <c r="F304" s="3" t="str">
        <f t="shared" si="22"/>
        <v>2025</v>
      </c>
      <c r="G304" s="4">
        <f t="shared" si="23"/>
        <v>11</v>
      </c>
      <c r="H304" s="3" t="str">
        <f t="shared" si="24"/>
        <v>Q-4</v>
      </c>
      <c r="I304" t="s">
        <v>76</v>
      </c>
      <c r="J304" t="s">
        <v>32</v>
      </c>
      <c r="K304">
        <v>12</v>
      </c>
      <c r="L304" s="5">
        <v>850000</v>
      </c>
      <c r="M304">
        <v>13</v>
      </c>
      <c r="N304" t="s">
        <v>70</v>
      </c>
      <c r="O304" t="s">
        <v>506</v>
      </c>
      <c r="P304" t="s">
        <v>25</v>
      </c>
      <c r="Q304" s="5">
        <f>Table1[[#This Row],[Quantity]]*Table1[[#This Row],[Unit_Price]]</f>
        <v>10200000</v>
      </c>
      <c r="R304" t="str">
        <f>IF(Table1[[#This Row],[Delivery_Days]]&lt;=3,"Fast",IF(Table1[[#This Row],[Delivery_Days]]&lt;=7,"Normal","Late"))</f>
        <v>Late</v>
      </c>
    </row>
    <row r="305" spans="1:18" x14ac:dyDescent="0.35">
      <c r="A305" t="s">
        <v>334</v>
      </c>
      <c r="B305" t="str">
        <f t="shared" si="20"/>
        <v>APX1100</v>
      </c>
      <c r="C305" s="3">
        <v>45678</v>
      </c>
      <c r="D305" s="3">
        <f>IF(ISNUMBER(C305), C305, DATE(RIGHT(C305, 4), MATCH(LEFT(C305, 3), {"Jan","Feb","Mar","Apr","May","Jun","Jul","Aug","Sep","Oct","Nov","Dec"}, 0), MID(C305, 5, 2)))</f>
        <v>45678</v>
      </c>
      <c r="E305" s="3" t="str">
        <f t="shared" si="21"/>
        <v>Jan</v>
      </c>
      <c r="F305" s="3" t="str">
        <f t="shared" si="22"/>
        <v>2025</v>
      </c>
      <c r="G305" s="4">
        <f t="shared" si="23"/>
        <v>1</v>
      </c>
      <c r="H305" s="3" t="str">
        <f t="shared" si="24"/>
        <v>Q-1</v>
      </c>
      <c r="I305" t="s">
        <v>76</v>
      </c>
      <c r="J305" t="s">
        <v>73</v>
      </c>
      <c r="K305">
        <v>2500</v>
      </c>
      <c r="L305" s="5">
        <v>4500</v>
      </c>
      <c r="M305">
        <v>95</v>
      </c>
      <c r="N305" t="s">
        <v>560</v>
      </c>
      <c r="O305" t="s">
        <v>506</v>
      </c>
      <c r="P305" t="s">
        <v>25</v>
      </c>
      <c r="Q305" s="5">
        <f>Table1[[#This Row],[Quantity]]*Table1[[#This Row],[Unit_Price]]</f>
        <v>11250000</v>
      </c>
      <c r="R305" t="str">
        <f>IF(Table1[[#This Row],[Delivery_Days]]&lt;=3,"Fast",IF(Table1[[#This Row],[Delivery_Days]]&lt;=7,"Normal","Late"))</f>
        <v>Late</v>
      </c>
    </row>
    <row r="306" spans="1:18" x14ac:dyDescent="0.35">
      <c r="A306" t="s">
        <v>360</v>
      </c>
      <c r="B306" t="str">
        <f t="shared" si="20"/>
        <v>APX1247</v>
      </c>
      <c r="C306" s="3">
        <v>45935</v>
      </c>
      <c r="D306" s="3">
        <f>IF(ISNUMBER(C306), C306, DATE(RIGHT(C306, 4), MATCH(LEFT(C306, 3), {"Jan","Feb","Mar","Apr","May","Jun","Jul","Aug","Sep","Oct","Nov","Dec"}, 0), MID(C306, 5, 2)))</f>
        <v>45935</v>
      </c>
      <c r="E306" s="3" t="str">
        <f t="shared" si="21"/>
        <v>Oct</v>
      </c>
      <c r="F306" s="3" t="str">
        <f t="shared" si="22"/>
        <v>2025</v>
      </c>
      <c r="G306" s="4">
        <f t="shared" si="23"/>
        <v>10</v>
      </c>
      <c r="H306" s="3" t="str">
        <f t="shared" si="24"/>
        <v>Q-4</v>
      </c>
      <c r="I306" t="s">
        <v>11</v>
      </c>
      <c r="J306" t="s">
        <v>73</v>
      </c>
      <c r="K306">
        <v>7</v>
      </c>
      <c r="L306" s="5">
        <v>6500</v>
      </c>
      <c r="M306">
        <v>95</v>
      </c>
      <c r="N306" t="s">
        <v>40</v>
      </c>
      <c r="O306" t="s">
        <v>506</v>
      </c>
      <c r="P306" t="s">
        <v>15</v>
      </c>
      <c r="Q306" s="5">
        <f>Table1[[#This Row],[Quantity]]*Table1[[#This Row],[Unit_Price]]</f>
        <v>45500</v>
      </c>
      <c r="R306" t="str">
        <f>IF(Table1[[#This Row],[Delivery_Days]]&lt;=3,"Fast",IF(Table1[[#This Row],[Delivery_Days]]&lt;=7,"Normal","Late"))</f>
        <v>Late</v>
      </c>
    </row>
    <row r="307" spans="1:18" x14ac:dyDescent="0.35">
      <c r="A307" t="s">
        <v>345</v>
      </c>
      <c r="B307" t="str">
        <f t="shared" si="20"/>
        <v>APX1295</v>
      </c>
      <c r="C307" s="3">
        <v>45857</v>
      </c>
      <c r="D307" s="3">
        <f>IF(ISNUMBER(C307), C307, DATE(RIGHT(C307, 4), MATCH(LEFT(C307, 3), {"Jan","Feb","Mar","Apr","May","Jun","Jul","Aug","Sep","Oct","Nov","Dec"}, 0), MID(C307, 5, 2)))</f>
        <v>45857</v>
      </c>
      <c r="E307" s="3" t="str">
        <f t="shared" si="21"/>
        <v>Jul</v>
      </c>
      <c r="F307" s="3" t="str">
        <f t="shared" si="22"/>
        <v>2025</v>
      </c>
      <c r="G307" s="4">
        <f t="shared" si="23"/>
        <v>7</v>
      </c>
      <c r="H307" s="3" t="str">
        <f t="shared" si="24"/>
        <v>Q-3</v>
      </c>
      <c r="I307" t="s">
        <v>503</v>
      </c>
      <c r="J307" t="s">
        <v>89</v>
      </c>
      <c r="K307">
        <v>2500</v>
      </c>
      <c r="L307" s="5">
        <v>4500</v>
      </c>
      <c r="M307">
        <v>11</v>
      </c>
      <c r="N307" t="s">
        <v>505</v>
      </c>
      <c r="O307" t="s">
        <v>506</v>
      </c>
      <c r="P307" t="s">
        <v>74</v>
      </c>
      <c r="Q307" s="5">
        <f>Table1[[#This Row],[Quantity]]*Table1[[#This Row],[Unit_Price]]</f>
        <v>11250000</v>
      </c>
      <c r="R307" t="str">
        <f>IF(Table1[[#This Row],[Delivery_Days]]&lt;=3,"Fast",IF(Table1[[#This Row],[Delivery_Days]]&lt;=7,"Normal","Late"))</f>
        <v>Late</v>
      </c>
    </row>
    <row r="308" spans="1:18" x14ac:dyDescent="0.35">
      <c r="A308" t="s">
        <v>311</v>
      </c>
      <c r="B308" t="str">
        <f t="shared" si="20"/>
        <v>APX1107</v>
      </c>
      <c r="C308" s="3">
        <v>45997</v>
      </c>
      <c r="D308" s="3">
        <f>IF(ISNUMBER(C308), C308, DATE(RIGHT(C308, 4), MATCH(LEFT(C308, 3), {"Jan","Feb","Mar","Apr","May","Jun","Jul","Aug","Sep","Oct","Nov","Dec"}, 0), MID(C308, 5, 2)))</f>
        <v>45997</v>
      </c>
      <c r="E308" s="3" t="str">
        <f t="shared" si="21"/>
        <v>Dec</v>
      </c>
      <c r="F308" s="3" t="str">
        <f t="shared" si="22"/>
        <v>2025</v>
      </c>
      <c r="G308" s="4">
        <f t="shared" si="23"/>
        <v>12</v>
      </c>
      <c r="H308" s="3" t="str">
        <f t="shared" si="24"/>
        <v>Q-4</v>
      </c>
      <c r="I308" t="s">
        <v>76</v>
      </c>
      <c r="J308" t="s">
        <v>32</v>
      </c>
      <c r="K308">
        <v>2500</v>
      </c>
      <c r="L308" s="5">
        <v>4500</v>
      </c>
      <c r="M308">
        <v>3</v>
      </c>
      <c r="N308" t="s">
        <v>70</v>
      </c>
      <c r="O308" t="s">
        <v>506</v>
      </c>
      <c r="P308" t="s">
        <v>25</v>
      </c>
      <c r="Q308" s="5">
        <f>Table1[[#This Row],[Quantity]]*Table1[[#This Row],[Unit_Price]]</f>
        <v>11250000</v>
      </c>
      <c r="R308" t="str">
        <f>IF(Table1[[#This Row],[Delivery_Days]]&lt;=3,"Fast",IF(Table1[[#This Row],[Delivery_Days]]&lt;=7,"Normal","Late"))</f>
        <v>Fast</v>
      </c>
    </row>
    <row r="309" spans="1:18" x14ac:dyDescent="0.35">
      <c r="A309" t="s">
        <v>286</v>
      </c>
      <c r="B309" t="str">
        <f t="shared" si="20"/>
        <v>APX1315</v>
      </c>
      <c r="C309" s="3" t="s">
        <v>361</v>
      </c>
      <c r="D309" s="3">
        <f>IF(ISNUMBER(C309), C309, DATE(RIGHT(C309, 4), MATCH(LEFT(C309, 3), {"Jan","Feb","Mar","Apr","May","Jun","Jul","Aug","Sep","Oct","Nov","Dec"}, 0), MID(C309, 5, 2)))</f>
        <v>45746</v>
      </c>
      <c r="E309" s="3" t="str">
        <f t="shared" si="21"/>
        <v>Mar</v>
      </c>
      <c r="F309" s="3" t="str">
        <f t="shared" si="22"/>
        <v>2025</v>
      </c>
      <c r="G309" s="4">
        <f t="shared" si="23"/>
        <v>3</v>
      </c>
      <c r="H309" s="3" t="str">
        <f t="shared" si="24"/>
        <v>Q-1</v>
      </c>
      <c r="I309" t="s">
        <v>76</v>
      </c>
      <c r="J309" t="s">
        <v>73</v>
      </c>
      <c r="K309">
        <v>2500</v>
      </c>
      <c r="L309" s="5">
        <v>6500</v>
      </c>
      <c r="M309">
        <v>3</v>
      </c>
      <c r="N309" t="s">
        <v>40</v>
      </c>
      <c r="O309" t="s">
        <v>506</v>
      </c>
      <c r="P309" t="s">
        <v>42</v>
      </c>
      <c r="Q309" s="5">
        <f>Table1[[#This Row],[Quantity]]*Table1[[#This Row],[Unit_Price]]</f>
        <v>16250000</v>
      </c>
      <c r="R309" t="str">
        <f>IF(Table1[[#This Row],[Delivery_Days]]&lt;=3,"Fast",IF(Table1[[#This Row],[Delivery_Days]]&lt;=7,"Normal","Late"))</f>
        <v>Fast</v>
      </c>
    </row>
    <row r="310" spans="1:18" x14ac:dyDescent="0.35">
      <c r="A310" t="s">
        <v>291</v>
      </c>
      <c r="B310" t="str">
        <f t="shared" si="20"/>
        <v>APX1304</v>
      </c>
      <c r="C310" s="3" t="s">
        <v>362</v>
      </c>
      <c r="D310" s="3">
        <f>IF(ISNUMBER(C310), C310, DATE(RIGHT(C310, 4), MATCH(LEFT(C310, 3), {"Jan","Feb","Mar","Apr","May","Jun","Jul","Aug","Sep","Oct","Nov","Dec"}, 0), MID(C310, 5, 2)))</f>
        <v>45926</v>
      </c>
      <c r="E310" s="3" t="str">
        <f t="shared" si="21"/>
        <v>Sep</v>
      </c>
      <c r="F310" s="3" t="str">
        <f t="shared" si="22"/>
        <v>2025</v>
      </c>
      <c r="G310" s="4">
        <f t="shared" si="23"/>
        <v>9</v>
      </c>
      <c r="H310" s="3" t="str">
        <f t="shared" si="24"/>
        <v>Q-4</v>
      </c>
      <c r="I310" t="s">
        <v>502</v>
      </c>
      <c r="J310" t="s">
        <v>89</v>
      </c>
      <c r="K310">
        <v>2500</v>
      </c>
      <c r="L310" s="5">
        <v>800</v>
      </c>
      <c r="M310">
        <v>95</v>
      </c>
      <c r="N310" t="s">
        <v>40</v>
      </c>
      <c r="O310" t="s">
        <v>506</v>
      </c>
      <c r="P310" t="s">
        <v>42</v>
      </c>
      <c r="Q310" s="5">
        <f>Table1[[#This Row],[Quantity]]*Table1[[#This Row],[Unit_Price]]</f>
        <v>2000000</v>
      </c>
      <c r="R310" t="str">
        <f>IF(Table1[[#This Row],[Delivery_Days]]&lt;=3,"Fast",IF(Table1[[#This Row],[Delivery_Days]]&lt;=7,"Normal","Late"))</f>
        <v>Late</v>
      </c>
    </row>
    <row r="311" spans="1:18" x14ac:dyDescent="0.35">
      <c r="A311" t="s">
        <v>345</v>
      </c>
      <c r="B311" t="str">
        <f t="shared" si="20"/>
        <v>APX1295</v>
      </c>
      <c r="C311" s="3">
        <v>45845</v>
      </c>
      <c r="D311" s="3">
        <f>IF(ISNUMBER(C311), C311, DATE(RIGHT(C311, 4), MATCH(LEFT(C311, 3), {"Jan","Feb","Mar","Apr","May","Jun","Jul","Aug","Sep","Oct","Nov","Dec"}, 0), MID(C311, 5, 2)))</f>
        <v>45845</v>
      </c>
      <c r="E311" s="3" t="str">
        <f t="shared" si="21"/>
        <v>Jul</v>
      </c>
      <c r="F311" s="3" t="str">
        <f t="shared" si="22"/>
        <v>2025</v>
      </c>
      <c r="G311" s="4">
        <f t="shared" si="23"/>
        <v>7</v>
      </c>
      <c r="H311" s="3" t="str">
        <f t="shared" si="24"/>
        <v>Q-3</v>
      </c>
      <c r="I311" t="s">
        <v>76</v>
      </c>
      <c r="J311" t="s">
        <v>32</v>
      </c>
      <c r="K311">
        <v>2500</v>
      </c>
      <c r="L311" s="5">
        <v>4500</v>
      </c>
      <c r="M311">
        <v>95</v>
      </c>
      <c r="N311" t="s">
        <v>70</v>
      </c>
      <c r="O311" t="s">
        <v>46</v>
      </c>
      <c r="P311" t="s">
        <v>25</v>
      </c>
      <c r="Q311" s="5">
        <f>Table1[[#This Row],[Quantity]]*Table1[[#This Row],[Unit_Price]]</f>
        <v>11250000</v>
      </c>
      <c r="R311" t="str">
        <f>IF(Table1[[#This Row],[Delivery_Days]]&lt;=3,"Fast",IF(Table1[[#This Row],[Delivery_Days]]&lt;=7,"Normal","Late"))</f>
        <v>Late</v>
      </c>
    </row>
    <row r="312" spans="1:18" x14ac:dyDescent="0.35">
      <c r="A312" t="s">
        <v>363</v>
      </c>
      <c r="B312" t="str">
        <f t="shared" si="20"/>
        <v>APX1319</v>
      </c>
      <c r="C312" s="3">
        <v>45840</v>
      </c>
      <c r="D312" s="3">
        <f>IF(ISNUMBER(C312), C312, DATE(RIGHT(C312, 4), MATCH(LEFT(C312, 3), {"Jan","Feb","Mar","Apr","May","Jun","Jul","Aug","Sep","Oct","Nov","Dec"}, 0), MID(C312, 5, 2)))</f>
        <v>45840</v>
      </c>
      <c r="E312" s="3" t="str">
        <f t="shared" si="21"/>
        <v>Jul</v>
      </c>
      <c r="F312" s="3" t="str">
        <f t="shared" si="22"/>
        <v>2025</v>
      </c>
      <c r="G312" s="4">
        <f t="shared" si="23"/>
        <v>7</v>
      </c>
      <c r="H312" s="3" t="str">
        <f t="shared" si="24"/>
        <v>Q-3</v>
      </c>
      <c r="I312" t="s">
        <v>502</v>
      </c>
      <c r="J312" t="s">
        <v>73</v>
      </c>
      <c r="K312">
        <v>12</v>
      </c>
      <c r="L312" s="5">
        <v>800</v>
      </c>
      <c r="M312">
        <v>9</v>
      </c>
      <c r="N312" t="s">
        <v>504</v>
      </c>
      <c r="O312" t="s">
        <v>506</v>
      </c>
      <c r="P312" t="s">
        <v>25</v>
      </c>
      <c r="Q312" s="5">
        <f>Table1[[#This Row],[Quantity]]*Table1[[#This Row],[Unit_Price]]</f>
        <v>9600</v>
      </c>
      <c r="R312" t="str">
        <f>IF(Table1[[#This Row],[Delivery_Days]]&lt;=3,"Fast",IF(Table1[[#This Row],[Delivery_Days]]&lt;=7,"Normal","Late"))</f>
        <v>Late</v>
      </c>
    </row>
    <row r="313" spans="1:18" x14ac:dyDescent="0.35">
      <c r="A313" t="s">
        <v>274</v>
      </c>
      <c r="B313" t="str">
        <f t="shared" si="20"/>
        <v>APX1371</v>
      </c>
      <c r="C313" s="3">
        <v>45980</v>
      </c>
      <c r="D313" s="3">
        <f>IF(ISNUMBER(C313), C313, DATE(RIGHT(C313, 4), MATCH(LEFT(C313, 3), {"Jan","Feb","Mar","Apr","May","Jun","Jul","Aug","Sep","Oct","Nov","Dec"}, 0), MID(C313, 5, 2)))</f>
        <v>45980</v>
      </c>
      <c r="E313" s="3" t="str">
        <f t="shared" si="21"/>
        <v>Nov</v>
      </c>
      <c r="F313" s="3" t="str">
        <f t="shared" si="22"/>
        <v>2025</v>
      </c>
      <c r="G313" s="4">
        <f t="shared" si="23"/>
        <v>11</v>
      </c>
      <c r="H313" s="3" t="str">
        <f t="shared" si="24"/>
        <v>Q-4</v>
      </c>
      <c r="I313" t="s">
        <v>502</v>
      </c>
      <c r="J313" t="s">
        <v>32</v>
      </c>
      <c r="K313">
        <v>30</v>
      </c>
      <c r="L313" s="5">
        <v>6500</v>
      </c>
      <c r="M313">
        <v>3</v>
      </c>
      <c r="N313" t="s">
        <v>70</v>
      </c>
      <c r="O313" t="s">
        <v>506</v>
      </c>
      <c r="P313" t="s">
        <v>25</v>
      </c>
      <c r="Q313" s="5">
        <f>Table1[[#This Row],[Quantity]]*Table1[[#This Row],[Unit_Price]]</f>
        <v>195000</v>
      </c>
      <c r="R313" t="str">
        <f>IF(Table1[[#This Row],[Delivery_Days]]&lt;=3,"Fast",IF(Table1[[#This Row],[Delivery_Days]]&lt;=7,"Normal","Late"))</f>
        <v>Fast</v>
      </c>
    </row>
    <row r="314" spans="1:18" x14ac:dyDescent="0.35">
      <c r="A314" t="s">
        <v>197</v>
      </c>
      <c r="B314" t="str">
        <f t="shared" si="20"/>
        <v>APX1000</v>
      </c>
      <c r="C314" s="3">
        <v>46003</v>
      </c>
      <c r="D314" s="3">
        <f>IF(ISNUMBER(C314), C314, DATE(RIGHT(C314, 4), MATCH(LEFT(C314, 3), {"Jan","Feb","Mar","Apr","May","Jun","Jul","Aug","Sep","Oct","Nov","Dec"}, 0), MID(C314, 5, 2)))</f>
        <v>46003</v>
      </c>
      <c r="E314" s="3" t="str">
        <f t="shared" si="21"/>
        <v>Dec</v>
      </c>
      <c r="F314" s="3" t="str">
        <f t="shared" si="22"/>
        <v>2025</v>
      </c>
      <c r="G314" s="4">
        <f t="shared" si="23"/>
        <v>12</v>
      </c>
      <c r="H314" s="3" t="str">
        <f t="shared" si="24"/>
        <v>Q-4</v>
      </c>
      <c r="I314" t="s">
        <v>76</v>
      </c>
      <c r="J314" t="s">
        <v>89</v>
      </c>
      <c r="K314">
        <v>2500</v>
      </c>
      <c r="L314" s="5">
        <v>800</v>
      </c>
      <c r="M314">
        <v>3</v>
      </c>
      <c r="N314" t="s">
        <v>70</v>
      </c>
      <c r="O314" t="s">
        <v>506</v>
      </c>
      <c r="P314" t="s">
        <v>15</v>
      </c>
      <c r="Q314" s="5">
        <f>Table1[[#This Row],[Quantity]]*Table1[[#This Row],[Unit_Price]]</f>
        <v>2000000</v>
      </c>
      <c r="R314" t="str">
        <f>IF(Table1[[#This Row],[Delivery_Days]]&lt;=3,"Fast",IF(Table1[[#This Row],[Delivery_Days]]&lt;=7,"Normal","Late"))</f>
        <v>Fast</v>
      </c>
    </row>
    <row r="315" spans="1:18" x14ac:dyDescent="0.35">
      <c r="A315" t="s">
        <v>364</v>
      </c>
      <c r="B315" t="str">
        <f t="shared" si="20"/>
        <v>APX1342</v>
      </c>
      <c r="C315" s="3" t="s">
        <v>365</v>
      </c>
      <c r="D315" s="3">
        <f>IF(ISNUMBER(C315), C315, DATE(RIGHT(C315, 4), MATCH(LEFT(C315, 3), {"Jan","Feb","Mar","Apr","May","Jun","Jul","Aug","Sep","Oct","Nov","Dec"}, 0), MID(C315, 5, 2)))</f>
        <v>45783</v>
      </c>
      <c r="E315" s="3" t="str">
        <f t="shared" si="21"/>
        <v>May</v>
      </c>
      <c r="F315" s="3" t="str">
        <f t="shared" si="22"/>
        <v>2025</v>
      </c>
      <c r="G315" s="4">
        <f t="shared" si="23"/>
        <v>5</v>
      </c>
      <c r="H315" s="3" t="str">
        <f t="shared" si="24"/>
        <v>Q-2</v>
      </c>
      <c r="I315" t="s">
        <v>76</v>
      </c>
      <c r="J315" t="s">
        <v>89</v>
      </c>
      <c r="K315">
        <v>30</v>
      </c>
      <c r="L315" s="5">
        <v>800</v>
      </c>
      <c r="M315">
        <v>95</v>
      </c>
      <c r="N315" t="s">
        <v>505</v>
      </c>
      <c r="O315" t="s">
        <v>46</v>
      </c>
      <c r="P315" t="s">
        <v>25</v>
      </c>
      <c r="Q315" s="5">
        <f>Table1[[#This Row],[Quantity]]*Table1[[#This Row],[Unit_Price]]</f>
        <v>24000</v>
      </c>
      <c r="R315" t="str">
        <f>IF(Table1[[#This Row],[Delivery_Days]]&lt;=3,"Fast",IF(Table1[[#This Row],[Delivery_Days]]&lt;=7,"Normal","Late"))</f>
        <v>Late</v>
      </c>
    </row>
    <row r="316" spans="1:18" x14ac:dyDescent="0.35">
      <c r="A316" t="s">
        <v>366</v>
      </c>
      <c r="B316" t="str">
        <f t="shared" si="20"/>
        <v>APX1301</v>
      </c>
      <c r="C316" s="3">
        <v>45945</v>
      </c>
      <c r="D316" s="3">
        <f>IF(ISNUMBER(C316), C316, DATE(RIGHT(C316, 4), MATCH(LEFT(C316, 3), {"Jan","Feb","Mar","Apr","May","Jun","Jul","Aug","Sep","Oct","Nov","Dec"}, 0), MID(C316, 5, 2)))</f>
        <v>45945</v>
      </c>
      <c r="E316" s="3" t="str">
        <f t="shared" si="21"/>
        <v>Oct</v>
      </c>
      <c r="F316" s="3" t="str">
        <f t="shared" si="22"/>
        <v>2025</v>
      </c>
      <c r="G316" s="4">
        <f t="shared" si="23"/>
        <v>10</v>
      </c>
      <c r="H316" s="3" t="str">
        <f t="shared" si="24"/>
        <v>Q-4</v>
      </c>
      <c r="I316" t="s">
        <v>503</v>
      </c>
      <c r="J316" t="s">
        <v>28</v>
      </c>
      <c r="K316">
        <v>30</v>
      </c>
      <c r="L316" s="5">
        <v>21399</v>
      </c>
      <c r="M316">
        <v>95</v>
      </c>
      <c r="N316" t="s">
        <v>70</v>
      </c>
      <c r="O316" t="s">
        <v>46</v>
      </c>
      <c r="P316" t="s">
        <v>42</v>
      </c>
      <c r="Q316" s="5">
        <f>Table1[[#This Row],[Quantity]]*Table1[[#This Row],[Unit_Price]]</f>
        <v>641970</v>
      </c>
      <c r="R316" t="str">
        <f>IF(Table1[[#This Row],[Delivery_Days]]&lt;=3,"Fast",IF(Table1[[#This Row],[Delivery_Days]]&lt;=7,"Normal","Late"))</f>
        <v>Late</v>
      </c>
    </row>
    <row r="317" spans="1:18" x14ac:dyDescent="0.35">
      <c r="A317" t="s">
        <v>279</v>
      </c>
      <c r="B317" t="str">
        <f t="shared" si="20"/>
        <v>APX1055</v>
      </c>
      <c r="C317" s="3">
        <v>45884</v>
      </c>
      <c r="D317" s="3">
        <f>IF(ISNUMBER(C317), C317, DATE(RIGHT(C317, 4), MATCH(LEFT(C317, 3), {"Jan","Feb","Mar","Apr","May","Jun","Jul","Aug","Sep","Oct","Nov","Dec"}, 0), MID(C317, 5, 2)))</f>
        <v>45884</v>
      </c>
      <c r="E317" s="3" t="str">
        <f t="shared" si="21"/>
        <v>Aug</v>
      </c>
      <c r="F317" s="3" t="str">
        <f t="shared" si="22"/>
        <v>2025</v>
      </c>
      <c r="G317" s="4">
        <f t="shared" si="23"/>
        <v>8</v>
      </c>
      <c r="H317" s="3" t="str">
        <f t="shared" si="24"/>
        <v>Q-3</v>
      </c>
      <c r="I317" t="s">
        <v>76</v>
      </c>
      <c r="J317" t="s">
        <v>32</v>
      </c>
      <c r="K317">
        <v>2500</v>
      </c>
      <c r="L317" s="5">
        <v>4500</v>
      </c>
      <c r="M317">
        <v>95</v>
      </c>
      <c r="N317" t="s">
        <v>40</v>
      </c>
      <c r="O317" t="s">
        <v>506</v>
      </c>
      <c r="P317" t="s">
        <v>25</v>
      </c>
      <c r="Q317" s="5">
        <f>Table1[[#This Row],[Quantity]]*Table1[[#This Row],[Unit_Price]]</f>
        <v>11250000</v>
      </c>
      <c r="R317" t="str">
        <f>IF(Table1[[#This Row],[Delivery_Days]]&lt;=3,"Fast",IF(Table1[[#This Row],[Delivery_Days]]&lt;=7,"Normal","Late"))</f>
        <v>Late</v>
      </c>
    </row>
    <row r="318" spans="1:18" x14ac:dyDescent="0.35">
      <c r="A318" t="s">
        <v>367</v>
      </c>
      <c r="B318" t="str">
        <f t="shared" si="20"/>
        <v>APX1041</v>
      </c>
      <c r="C318" s="3">
        <v>46010</v>
      </c>
      <c r="D318" s="3">
        <f>IF(ISNUMBER(C318), C318, DATE(RIGHT(C318, 4), MATCH(LEFT(C318, 3), {"Jan","Feb","Mar","Apr","May","Jun","Jul","Aug","Sep","Oct","Nov","Dec"}, 0), MID(C318, 5, 2)))</f>
        <v>46010</v>
      </c>
      <c r="E318" s="3" t="str">
        <f t="shared" si="21"/>
        <v>Dec</v>
      </c>
      <c r="F318" s="3" t="str">
        <f t="shared" si="22"/>
        <v>2025</v>
      </c>
      <c r="G318" s="4">
        <f t="shared" si="23"/>
        <v>12</v>
      </c>
      <c r="H318" s="3" t="str">
        <f t="shared" si="24"/>
        <v>Q-4</v>
      </c>
      <c r="I318" t="s">
        <v>502</v>
      </c>
      <c r="J318" t="s">
        <v>28</v>
      </c>
      <c r="K318">
        <v>12</v>
      </c>
      <c r="L318" s="5">
        <v>40264</v>
      </c>
      <c r="M318">
        <v>7</v>
      </c>
      <c r="N318" t="s">
        <v>40</v>
      </c>
      <c r="O318" t="s">
        <v>14</v>
      </c>
      <c r="P318" t="s">
        <v>42</v>
      </c>
      <c r="Q318" s="5">
        <f>Table1[[#This Row],[Quantity]]*Table1[[#This Row],[Unit_Price]]</f>
        <v>483168</v>
      </c>
      <c r="R318" t="str">
        <f>IF(Table1[[#This Row],[Delivery_Days]]&lt;=3,"Fast",IF(Table1[[#This Row],[Delivery_Days]]&lt;=7,"Normal","Late"))</f>
        <v>Normal</v>
      </c>
    </row>
    <row r="319" spans="1:18" x14ac:dyDescent="0.35">
      <c r="A319" t="s">
        <v>369</v>
      </c>
      <c r="B319" t="str">
        <f t="shared" si="20"/>
        <v>APX1047</v>
      </c>
      <c r="C319" s="3">
        <v>45958</v>
      </c>
      <c r="D319" s="3">
        <f>IF(ISNUMBER(C319), C319, DATE(RIGHT(C319, 4), MATCH(LEFT(C319, 3), {"Jan","Feb","Mar","Apr","May","Jun","Jul","Aug","Sep","Oct","Nov","Dec"}, 0), MID(C319, 5, 2)))</f>
        <v>45958</v>
      </c>
      <c r="E319" s="3" t="str">
        <f t="shared" si="21"/>
        <v>Oct</v>
      </c>
      <c r="F319" s="3" t="str">
        <f t="shared" si="22"/>
        <v>2025</v>
      </c>
      <c r="G319" s="4">
        <f t="shared" si="23"/>
        <v>10</v>
      </c>
      <c r="H319" s="3" t="str">
        <f t="shared" si="24"/>
        <v>Q-4</v>
      </c>
      <c r="I319" t="s">
        <v>502</v>
      </c>
      <c r="J319" t="s">
        <v>32</v>
      </c>
      <c r="K319">
        <v>30</v>
      </c>
      <c r="L319" s="5">
        <v>30052</v>
      </c>
      <c r="M319">
        <v>3</v>
      </c>
      <c r="N319" t="s">
        <v>504</v>
      </c>
      <c r="O319" t="s">
        <v>506</v>
      </c>
      <c r="P319" t="s">
        <v>25</v>
      </c>
      <c r="Q319" s="5">
        <f>Table1[[#This Row],[Quantity]]*Table1[[#This Row],[Unit_Price]]</f>
        <v>901560</v>
      </c>
      <c r="R319" t="str">
        <f>IF(Table1[[#This Row],[Delivery_Days]]&lt;=3,"Fast",IF(Table1[[#This Row],[Delivery_Days]]&lt;=7,"Normal","Late"))</f>
        <v>Fast</v>
      </c>
    </row>
    <row r="320" spans="1:18" x14ac:dyDescent="0.35">
      <c r="A320" t="s">
        <v>167</v>
      </c>
      <c r="B320" t="str">
        <f t="shared" si="20"/>
        <v>APX1081</v>
      </c>
      <c r="C320" s="3">
        <v>45704</v>
      </c>
      <c r="D320" s="3">
        <f>IF(ISNUMBER(C320), C320, DATE(RIGHT(C320, 4), MATCH(LEFT(C320, 3), {"Jan","Feb","Mar","Apr","May","Jun","Jul","Aug","Sep","Oct","Nov","Dec"}, 0), MID(C320, 5, 2)))</f>
        <v>45704</v>
      </c>
      <c r="E320" s="3" t="str">
        <f t="shared" si="21"/>
        <v>Feb</v>
      </c>
      <c r="F320" s="3" t="str">
        <f t="shared" si="22"/>
        <v>2025</v>
      </c>
      <c r="G320" s="4">
        <f t="shared" si="23"/>
        <v>2</v>
      </c>
      <c r="H320" s="3" t="str">
        <f t="shared" si="24"/>
        <v>Q-1</v>
      </c>
      <c r="I320" t="s">
        <v>502</v>
      </c>
      <c r="J320" t="s">
        <v>64</v>
      </c>
      <c r="K320">
        <v>12</v>
      </c>
      <c r="L320" s="5">
        <v>850000</v>
      </c>
      <c r="M320">
        <v>7</v>
      </c>
      <c r="N320" t="s">
        <v>560</v>
      </c>
      <c r="O320" t="s">
        <v>506</v>
      </c>
      <c r="P320" t="s">
        <v>74</v>
      </c>
      <c r="Q320" s="5">
        <f>Table1[[#This Row],[Quantity]]*Table1[[#This Row],[Unit_Price]]</f>
        <v>10200000</v>
      </c>
      <c r="R320" t="str">
        <f>IF(Table1[[#This Row],[Delivery_Days]]&lt;=3,"Fast",IF(Table1[[#This Row],[Delivery_Days]]&lt;=7,"Normal","Late"))</f>
        <v>Normal</v>
      </c>
    </row>
    <row r="321" spans="1:18" x14ac:dyDescent="0.35">
      <c r="A321" t="s">
        <v>370</v>
      </c>
      <c r="B321" t="str">
        <f t="shared" si="20"/>
        <v>APX1110</v>
      </c>
      <c r="C321" s="3">
        <v>45899</v>
      </c>
      <c r="D321" s="3">
        <f>IF(ISNUMBER(C321), C321, DATE(RIGHT(C321, 4), MATCH(LEFT(C321, 3), {"Jan","Feb","Mar","Apr","May","Jun","Jul","Aug","Sep","Oct","Nov","Dec"}, 0), MID(C321, 5, 2)))</f>
        <v>45899</v>
      </c>
      <c r="E321" s="3" t="str">
        <f t="shared" si="21"/>
        <v>Aug</v>
      </c>
      <c r="F321" s="3" t="str">
        <f t="shared" si="22"/>
        <v>2025</v>
      </c>
      <c r="G321" s="4">
        <f t="shared" si="23"/>
        <v>8</v>
      </c>
      <c r="H321" s="3" t="str">
        <f t="shared" si="24"/>
        <v>Q-3</v>
      </c>
      <c r="I321" t="s">
        <v>502</v>
      </c>
      <c r="J321" t="s">
        <v>73</v>
      </c>
      <c r="K321">
        <v>2500</v>
      </c>
      <c r="L321" s="5">
        <v>4500</v>
      </c>
      <c r="M321">
        <v>2</v>
      </c>
      <c r="N321" t="s">
        <v>70</v>
      </c>
      <c r="O321" t="s">
        <v>14</v>
      </c>
      <c r="P321" t="s">
        <v>25</v>
      </c>
      <c r="Q321" s="5">
        <f>Table1[[#This Row],[Quantity]]*Table1[[#This Row],[Unit_Price]]</f>
        <v>11250000</v>
      </c>
      <c r="R321" t="str">
        <f>IF(Table1[[#This Row],[Delivery_Days]]&lt;=3,"Fast",IF(Table1[[#This Row],[Delivery_Days]]&lt;=7,"Normal","Late"))</f>
        <v>Fast</v>
      </c>
    </row>
    <row r="322" spans="1:18" x14ac:dyDescent="0.35">
      <c r="A322" t="s">
        <v>147</v>
      </c>
      <c r="B322" t="str">
        <f t="shared" si="20"/>
        <v>APX1219</v>
      </c>
      <c r="C322" s="3">
        <v>45920</v>
      </c>
      <c r="D322" s="3">
        <f>IF(ISNUMBER(C322), C322, DATE(RIGHT(C322, 4), MATCH(LEFT(C322, 3), {"Jan","Feb","Mar","Apr","May","Jun","Jul","Aug","Sep","Oct","Nov","Dec"}, 0), MID(C322, 5, 2)))</f>
        <v>45920</v>
      </c>
      <c r="E322" s="3" t="str">
        <f t="shared" si="21"/>
        <v>Sep</v>
      </c>
      <c r="F322" s="3" t="str">
        <f t="shared" si="22"/>
        <v>2025</v>
      </c>
      <c r="G322" s="4">
        <f t="shared" si="23"/>
        <v>9</v>
      </c>
      <c r="H322" s="3" t="str">
        <f t="shared" si="24"/>
        <v>Q-4</v>
      </c>
      <c r="I322" t="s">
        <v>76</v>
      </c>
      <c r="J322" t="s">
        <v>28</v>
      </c>
      <c r="K322">
        <v>2500</v>
      </c>
      <c r="L322" s="5">
        <v>6500</v>
      </c>
      <c r="M322">
        <v>7</v>
      </c>
      <c r="N322" t="s">
        <v>505</v>
      </c>
      <c r="O322" t="s">
        <v>506</v>
      </c>
      <c r="P322" t="s">
        <v>25</v>
      </c>
      <c r="Q322" s="5">
        <f>Table1[[#This Row],[Quantity]]*Table1[[#This Row],[Unit_Price]]</f>
        <v>16250000</v>
      </c>
      <c r="R322" t="str">
        <f>IF(Table1[[#This Row],[Delivery_Days]]&lt;=3,"Fast",IF(Table1[[#This Row],[Delivery_Days]]&lt;=7,"Normal","Late"))</f>
        <v>Normal</v>
      </c>
    </row>
    <row r="323" spans="1:18" x14ac:dyDescent="0.35">
      <c r="A323" t="s">
        <v>371</v>
      </c>
      <c r="B323" t="str">
        <f t="shared" ref="B323:B386" si="25">IF(LEFT(A323,3)="APX",A323,"APX" &amp; A323)</f>
        <v>APX1406</v>
      </c>
      <c r="C323" s="3">
        <v>45806</v>
      </c>
      <c r="D323" s="3">
        <f>IF(ISNUMBER(C323), C323, DATE(RIGHT(C323, 4), MATCH(LEFT(C323, 3), {"Jan","Feb","Mar","Apr","May","Jun","Jul","Aug","Sep","Oct","Nov","Dec"}, 0), MID(C323, 5, 2)))</f>
        <v>45806</v>
      </c>
      <c r="E323" s="3" t="str">
        <f t="shared" ref="E323:E386" si="26">TEXT(D323,"mmm")</f>
        <v>May</v>
      </c>
      <c r="F323" s="3" t="str">
        <f t="shared" ref="F323:F386" si="27">TEXT(D323,"yyyy")</f>
        <v>2025</v>
      </c>
      <c r="G323" s="4">
        <f t="shared" ref="G323:G386" si="28">MONTH(D323)</f>
        <v>5</v>
      </c>
      <c r="H323" s="3" t="str">
        <f t="shared" ref="H323:H386" si="29">IF(G323&lt;=3,"Q-1",IF(G323&lt;=6,"Q-2",IF(G323&lt;9,"Q-3","Q-4")))</f>
        <v>Q-2</v>
      </c>
      <c r="I323" t="s">
        <v>510</v>
      </c>
      <c r="J323" t="s">
        <v>28</v>
      </c>
      <c r="K323">
        <v>160</v>
      </c>
      <c r="L323" s="5">
        <v>800</v>
      </c>
      <c r="M323">
        <v>95</v>
      </c>
      <c r="N323" t="s">
        <v>504</v>
      </c>
      <c r="O323" t="s">
        <v>14</v>
      </c>
      <c r="P323" t="s">
        <v>25</v>
      </c>
      <c r="Q323" s="5">
        <f>Table1[[#This Row],[Quantity]]*Table1[[#This Row],[Unit_Price]]</f>
        <v>128000</v>
      </c>
      <c r="R323" t="str">
        <f>IF(Table1[[#This Row],[Delivery_Days]]&lt;=3,"Fast",IF(Table1[[#This Row],[Delivery_Days]]&lt;=7,"Normal","Late"))</f>
        <v>Late</v>
      </c>
    </row>
    <row r="324" spans="1:18" x14ac:dyDescent="0.35">
      <c r="A324" t="s">
        <v>61</v>
      </c>
      <c r="B324" t="str">
        <f t="shared" si="25"/>
        <v>APX1088</v>
      </c>
      <c r="C324" s="3">
        <v>45807</v>
      </c>
      <c r="D324" s="3">
        <f>IF(ISNUMBER(C324), C324, DATE(RIGHT(C324, 4), MATCH(LEFT(C324, 3), {"Jan","Feb","Mar","Apr","May","Jun","Jul","Aug","Sep","Oct","Nov","Dec"}, 0), MID(C324, 5, 2)))</f>
        <v>45807</v>
      </c>
      <c r="E324" s="3" t="str">
        <f t="shared" si="26"/>
        <v>May</v>
      </c>
      <c r="F324" s="3" t="str">
        <f t="shared" si="27"/>
        <v>2025</v>
      </c>
      <c r="G324" s="4">
        <f t="shared" si="28"/>
        <v>5</v>
      </c>
      <c r="H324" s="3" t="str">
        <f t="shared" si="29"/>
        <v>Q-2</v>
      </c>
      <c r="I324" t="s">
        <v>17</v>
      </c>
      <c r="J324" t="s">
        <v>73</v>
      </c>
      <c r="K324">
        <v>80</v>
      </c>
      <c r="L324" s="5">
        <v>800</v>
      </c>
      <c r="M324">
        <v>3</v>
      </c>
      <c r="N324" t="s">
        <v>70</v>
      </c>
      <c r="O324" t="s">
        <v>506</v>
      </c>
      <c r="P324" t="s">
        <v>15</v>
      </c>
      <c r="Q324" s="5">
        <f>Table1[[#This Row],[Quantity]]*Table1[[#This Row],[Unit_Price]]</f>
        <v>64000</v>
      </c>
      <c r="R324" t="str">
        <f>IF(Table1[[#This Row],[Delivery_Days]]&lt;=3,"Fast",IF(Table1[[#This Row],[Delivery_Days]]&lt;=7,"Normal","Late"))</f>
        <v>Fast</v>
      </c>
    </row>
    <row r="325" spans="1:18" x14ac:dyDescent="0.35">
      <c r="A325" t="s">
        <v>373</v>
      </c>
      <c r="B325" t="str">
        <f t="shared" si="25"/>
        <v>APX1076</v>
      </c>
      <c r="C325" s="3">
        <v>46011</v>
      </c>
      <c r="D325" s="3">
        <f>IF(ISNUMBER(C325), C325, DATE(RIGHT(C325, 4), MATCH(LEFT(C325, 3), {"Jan","Feb","Mar","Apr","May","Jun","Jul","Aug","Sep","Oct","Nov","Dec"}, 0), MID(C325, 5, 2)))</f>
        <v>46011</v>
      </c>
      <c r="E325" s="3" t="str">
        <f t="shared" si="26"/>
        <v>Dec</v>
      </c>
      <c r="F325" s="3" t="str">
        <f t="shared" si="27"/>
        <v>2025</v>
      </c>
      <c r="G325" s="4">
        <f t="shared" si="28"/>
        <v>12</v>
      </c>
      <c r="H325" s="3" t="str">
        <f t="shared" si="29"/>
        <v>Q-4</v>
      </c>
      <c r="I325" t="s">
        <v>11</v>
      </c>
      <c r="J325" t="s">
        <v>32</v>
      </c>
      <c r="K325">
        <v>30</v>
      </c>
      <c r="L325" s="5">
        <v>6500</v>
      </c>
      <c r="M325">
        <v>95</v>
      </c>
      <c r="N325" t="s">
        <v>505</v>
      </c>
      <c r="O325" t="s">
        <v>506</v>
      </c>
      <c r="P325" t="s">
        <v>42</v>
      </c>
      <c r="Q325" s="5">
        <f>Table1[[#This Row],[Quantity]]*Table1[[#This Row],[Unit_Price]]</f>
        <v>195000</v>
      </c>
      <c r="R325" t="str">
        <f>IF(Table1[[#This Row],[Delivery_Days]]&lt;=3,"Fast",IF(Table1[[#This Row],[Delivery_Days]]&lt;=7,"Normal","Late"))</f>
        <v>Late</v>
      </c>
    </row>
    <row r="326" spans="1:18" x14ac:dyDescent="0.35">
      <c r="A326" t="s">
        <v>195</v>
      </c>
      <c r="B326" t="str">
        <f t="shared" si="25"/>
        <v>APX1241</v>
      </c>
      <c r="C326" s="3">
        <v>45737</v>
      </c>
      <c r="D326" s="3">
        <f>IF(ISNUMBER(C326), C326, DATE(RIGHT(C326, 4), MATCH(LEFT(C326, 3), {"Jan","Feb","Mar","Apr","May","Jun","Jul","Aug","Sep","Oct","Nov","Dec"}, 0), MID(C326, 5, 2)))</f>
        <v>45737</v>
      </c>
      <c r="E326" s="3" t="str">
        <f t="shared" si="26"/>
        <v>Mar</v>
      </c>
      <c r="F326" s="3" t="str">
        <f t="shared" si="27"/>
        <v>2025</v>
      </c>
      <c r="G326" s="4">
        <f t="shared" si="28"/>
        <v>3</v>
      </c>
      <c r="H326" s="3" t="str">
        <f t="shared" si="29"/>
        <v>Q-1</v>
      </c>
      <c r="I326" t="s">
        <v>502</v>
      </c>
      <c r="J326" t="s">
        <v>89</v>
      </c>
      <c r="K326">
        <v>2500</v>
      </c>
      <c r="L326" s="5">
        <v>4500</v>
      </c>
      <c r="M326">
        <v>3</v>
      </c>
      <c r="N326" t="s">
        <v>505</v>
      </c>
      <c r="O326" t="s">
        <v>506</v>
      </c>
      <c r="P326" t="s">
        <v>15</v>
      </c>
      <c r="Q326" s="5">
        <f>Table1[[#This Row],[Quantity]]*Table1[[#This Row],[Unit_Price]]</f>
        <v>11250000</v>
      </c>
      <c r="R326" t="str">
        <f>IF(Table1[[#This Row],[Delivery_Days]]&lt;=3,"Fast",IF(Table1[[#This Row],[Delivery_Days]]&lt;=7,"Normal","Late"))</f>
        <v>Fast</v>
      </c>
    </row>
    <row r="327" spans="1:18" x14ac:dyDescent="0.35">
      <c r="A327">
        <v>1296</v>
      </c>
      <c r="B327" t="str">
        <f t="shared" si="25"/>
        <v>APX1296</v>
      </c>
      <c r="C327" s="3">
        <v>45741</v>
      </c>
      <c r="D327" s="3">
        <f>IF(ISNUMBER(C327), C327, DATE(RIGHT(C327, 4), MATCH(LEFT(C327, 3), {"Jan","Feb","Mar","Apr","May","Jun","Jul","Aug","Sep","Oct","Nov","Dec"}, 0), MID(C327, 5, 2)))</f>
        <v>45741</v>
      </c>
      <c r="E327" s="3" t="str">
        <f t="shared" si="26"/>
        <v>Mar</v>
      </c>
      <c r="F327" s="3" t="str">
        <f t="shared" si="27"/>
        <v>2025</v>
      </c>
      <c r="G327" s="4">
        <f t="shared" si="28"/>
        <v>3</v>
      </c>
      <c r="H327" s="3" t="str">
        <f t="shared" si="29"/>
        <v>Q-1</v>
      </c>
      <c r="I327" t="s">
        <v>76</v>
      </c>
      <c r="J327" t="s">
        <v>32</v>
      </c>
      <c r="K327">
        <v>2500</v>
      </c>
      <c r="L327" s="5">
        <v>850000</v>
      </c>
      <c r="M327">
        <v>3</v>
      </c>
      <c r="N327" t="s">
        <v>40</v>
      </c>
      <c r="O327" t="s">
        <v>506</v>
      </c>
      <c r="P327" t="s">
        <v>25</v>
      </c>
      <c r="Q327" s="5">
        <f>Table1[[#This Row],[Quantity]]*Table1[[#This Row],[Unit_Price]]</f>
        <v>2125000000</v>
      </c>
      <c r="R327" t="str">
        <f>IF(Table1[[#This Row],[Delivery_Days]]&lt;=3,"Fast",IF(Table1[[#This Row],[Delivery_Days]]&lt;=7,"Normal","Late"))</f>
        <v>Fast</v>
      </c>
    </row>
    <row r="328" spans="1:18" x14ac:dyDescent="0.35">
      <c r="A328" t="s">
        <v>322</v>
      </c>
      <c r="B328" t="str">
        <f t="shared" si="25"/>
        <v>APX1333</v>
      </c>
      <c r="C328" s="3">
        <v>45928</v>
      </c>
      <c r="D328" s="3">
        <f>IF(ISNUMBER(C328), C328, DATE(RIGHT(C328, 4), MATCH(LEFT(C328, 3), {"Jan","Feb","Mar","Apr","May","Jun","Jul","Aug","Sep","Oct","Nov","Dec"}, 0), MID(C328, 5, 2)))</f>
        <v>45928</v>
      </c>
      <c r="E328" s="3" t="str">
        <f t="shared" si="26"/>
        <v>Sep</v>
      </c>
      <c r="F328" s="3" t="str">
        <f t="shared" si="27"/>
        <v>2025</v>
      </c>
      <c r="G328" s="4">
        <f t="shared" si="28"/>
        <v>9</v>
      </c>
      <c r="H328" s="3" t="str">
        <f t="shared" si="29"/>
        <v>Q-4</v>
      </c>
      <c r="I328" t="s">
        <v>76</v>
      </c>
      <c r="J328" t="s">
        <v>64</v>
      </c>
      <c r="K328">
        <v>30</v>
      </c>
      <c r="L328" s="5">
        <v>850000</v>
      </c>
      <c r="M328">
        <v>4</v>
      </c>
      <c r="N328" t="s">
        <v>504</v>
      </c>
      <c r="O328" t="s">
        <v>506</v>
      </c>
      <c r="P328" t="s">
        <v>25</v>
      </c>
      <c r="Q328" s="5">
        <f>Table1[[#This Row],[Quantity]]*Table1[[#This Row],[Unit_Price]]</f>
        <v>25500000</v>
      </c>
      <c r="R328" t="str">
        <f>IF(Table1[[#This Row],[Delivery_Days]]&lt;=3,"Fast",IF(Table1[[#This Row],[Delivery_Days]]&lt;=7,"Normal","Late"))</f>
        <v>Normal</v>
      </c>
    </row>
    <row r="329" spans="1:18" x14ac:dyDescent="0.35">
      <c r="A329" t="s">
        <v>376</v>
      </c>
      <c r="B329" t="str">
        <f t="shared" si="25"/>
        <v>APX1217</v>
      </c>
      <c r="C329" s="3">
        <v>45960</v>
      </c>
      <c r="D329" s="3">
        <f>IF(ISNUMBER(C329), C329, DATE(RIGHT(C329, 4), MATCH(LEFT(C329, 3), {"Jan","Feb","Mar","Apr","May","Jun","Jul","Aug","Sep","Oct","Nov","Dec"}, 0), MID(C329, 5, 2)))</f>
        <v>45960</v>
      </c>
      <c r="E329" s="3" t="str">
        <f t="shared" si="26"/>
        <v>Oct</v>
      </c>
      <c r="F329" s="3" t="str">
        <f t="shared" si="27"/>
        <v>2025</v>
      </c>
      <c r="G329" s="4">
        <f t="shared" si="28"/>
        <v>10</v>
      </c>
      <c r="H329" s="3" t="str">
        <f t="shared" si="29"/>
        <v>Q-4</v>
      </c>
      <c r="I329" t="s">
        <v>510</v>
      </c>
      <c r="J329" t="s">
        <v>32</v>
      </c>
      <c r="K329">
        <v>104</v>
      </c>
      <c r="L329" s="5">
        <v>800</v>
      </c>
      <c r="M329">
        <v>3</v>
      </c>
      <c r="N329" t="s">
        <v>504</v>
      </c>
      <c r="O329" t="s">
        <v>46</v>
      </c>
      <c r="P329" t="s">
        <v>15</v>
      </c>
      <c r="Q329" s="5">
        <f>Table1[[#This Row],[Quantity]]*Table1[[#This Row],[Unit_Price]]</f>
        <v>83200</v>
      </c>
      <c r="R329" t="str">
        <f>IF(Table1[[#This Row],[Delivery_Days]]&lt;=3,"Fast",IF(Table1[[#This Row],[Delivery_Days]]&lt;=7,"Normal","Late"))</f>
        <v>Fast</v>
      </c>
    </row>
    <row r="330" spans="1:18" x14ac:dyDescent="0.35">
      <c r="A330" t="s">
        <v>358</v>
      </c>
      <c r="B330" t="str">
        <f t="shared" si="25"/>
        <v>APX1099</v>
      </c>
      <c r="C330" s="3" t="s">
        <v>377</v>
      </c>
      <c r="D330" s="3">
        <f>IF(ISNUMBER(C330), C330, DATE(RIGHT(C330, 4), MATCH(LEFT(C330, 3), {"Jan","Feb","Mar","Apr","May","Jun","Jul","Aug","Sep","Oct","Nov","Dec"}, 0), MID(C330, 5, 2)))</f>
        <v>45720</v>
      </c>
      <c r="E330" s="3" t="str">
        <f t="shared" si="26"/>
        <v>Mar</v>
      </c>
      <c r="F330" s="3" t="str">
        <f t="shared" si="27"/>
        <v>2025</v>
      </c>
      <c r="G330" s="4">
        <f t="shared" si="28"/>
        <v>3</v>
      </c>
      <c r="H330" s="3" t="str">
        <f t="shared" si="29"/>
        <v>Q-1</v>
      </c>
      <c r="I330" t="s">
        <v>510</v>
      </c>
      <c r="J330" t="s">
        <v>73</v>
      </c>
      <c r="K330">
        <v>124</v>
      </c>
      <c r="L330" s="5">
        <v>4500</v>
      </c>
      <c r="M330">
        <v>7</v>
      </c>
      <c r="N330" t="s">
        <v>505</v>
      </c>
      <c r="O330" t="s">
        <v>506</v>
      </c>
      <c r="P330" t="s">
        <v>25</v>
      </c>
      <c r="Q330" s="5">
        <f>Table1[[#This Row],[Quantity]]*Table1[[#This Row],[Unit_Price]]</f>
        <v>558000</v>
      </c>
      <c r="R330" t="str">
        <f>IF(Table1[[#This Row],[Delivery_Days]]&lt;=3,"Fast",IF(Table1[[#This Row],[Delivery_Days]]&lt;=7,"Normal","Late"))</f>
        <v>Normal</v>
      </c>
    </row>
    <row r="331" spans="1:18" x14ac:dyDescent="0.35">
      <c r="A331" t="s">
        <v>142</v>
      </c>
      <c r="B331" t="str">
        <f t="shared" si="25"/>
        <v>APX1203</v>
      </c>
      <c r="C331" s="3" t="s">
        <v>378</v>
      </c>
      <c r="D331" s="3">
        <f>IF(ISNUMBER(C331), C331, DATE(RIGHT(C331, 4), MATCH(LEFT(C331, 3), {"Jan","Feb","Mar","Apr","May","Jun","Jul","Aug","Sep","Oct","Nov","Dec"}, 0), MID(C331, 5, 2)))</f>
        <v>45995</v>
      </c>
      <c r="E331" s="3" t="str">
        <f t="shared" si="26"/>
        <v>Dec</v>
      </c>
      <c r="F331" s="3" t="str">
        <f t="shared" si="27"/>
        <v>2025</v>
      </c>
      <c r="G331" s="4">
        <f t="shared" si="28"/>
        <v>12</v>
      </c>
      <c r="H331" s="3" t="str">
        <f t="shared" si="29"/>
        <v>Q-4</v>
      </c>
      <c r="I331" t="s">
        <v>76</v>
      </c>
      <c r="J331" t="s">
        <v>73</v>
      </c>
      <c r="K331">
        <v>12</v>
      </c>
      <c r="L331" s="5">
        <v>850000</v>
      </c>
      <c r="M331">
        <v>3</v>
      </c>
      <c r="N331" t="s">
        <v>40</v>
      </c>
      <c r="O331" t="s">
        <v>14</v>
      </c>
      <c r="P331" t="s">
        <v>25</v>
      </c>
      <c r="Q331" s="5">
        <f>Table1[[#This Row],[Quantity]]*Table1[[#This Row],[Unit_Price]]</f>
        <v>10200000</v>
      </c>
      <c r="R331" t="str">
        <f>IF(Table1[[#This Row],[Delivery_Days]]&lt;=3,"Fast",IF(Table1[[#This Row],[Delivery_Days]]&lt;=7,"Normal","Late"))</f>
        <v>Fast</v>
      </c>
    </row>
    <row r="332" spans="1:18" x14ac:dyDescent="0.35">
      <c r="A332" t="s">
        <v>379</v>
      </c>
      <c r="B332" t="str">
        <f t="shared" si="25"/>
        <v>APX1080</v>
      </c>
      <c r="C332" s="3" t="s">
        <v>259</v>
      </c>
      <c r="D332" s="3">
        <f>IF(ISNUMBER(C332), C332, DATE(RIGHT(C332, 4), MATCH(LEFT(C332, 3), {"Jan","Feb","Mar","Apr","May","Jun","Jul","Aug","Sep","Oct","Nov","Dec"}, 0), MID(C332, 5, 2)))</f>
        <v>45869</v>
      </c>
      <c r="E332" s="3" t="str">
        <f t="shared" si="26"/>
        <v>Jul</v>
      </c>
      <c r="F332" s="3" t="str">
        <f t="shared" si="27"/>
        <v>2025</v>
      </c>
      <c r="G332" s="4">
        <f t="shared" si="28"/>
        <v>7</v>
      </c>
      <c r="H332" s="3" t="str">
        <f t="shared" si="29"/>
        <v>Q-3</v>
      </c>
      <c r="I332" t="s">
        <v>76</v>
      </c>
      <c r="J332" t="s">
        <v>64</v>
      </c>
      <c r="K332">
        <v>30</v>
      </c>
      <c r="L332" s="5">
        <v>4500</v>
      </c>
      <c r="M332">
        <v>10</v>
      </c>
      <c r="N332" t="s">
        <v>40</v>
      </c>
      <c r="O332" t="s">
        <v>506</v>
      </c>
      <c r="P332" t="s">
        <v>25</v>
      </c>
      <c r="Q332" s="5">
        <f>Table1[[#This Row],[Quantity]]*Table1[[#This Row],[Unit_Price]]</f>
        <v>135000</v>
      </c>
      <c r="R332" t="str">
        <f>IF(Table1[[#This Row],[Delivery_Days]]&lt;=3,"Fast",IF(Table1[[#This Row],[Delivery_Days]]&lt;=7,"Normal","Late"))</f>
        <v>Late</v>
      </c>
    </row>
    <row r="333" spans="1:18" x14ac:dyDescent="0.35">
      <c r="A333" t="s">
        <v>212</v>
      </c>
      <c r="B333" t="str">
        <f t="shared" si="25"/>
        <v>APX1394</v>
      </c>
      <c r="C333" s="3">
        <v>46012</v>
      </c>
      <c r="D333" s="3">
        <f>IF(ISNUMBER(C333), C333, DATE(RIGHT(C333, 4), MATCH(LEFT(C333, 3), {"Jan","Feb","Mar","Apr","May","Jun","Jul","Aug","Sep","Oct","Nov","Dec"}, 0), MID(C333, 5, 2)))</f>
        <v>46012</v>
      </c>
      <c r="E333" s="3" t="str">
        <f t="shared" si="26"/>
        <v>Dec</v>
      </c>
      <c r="F333" s="3" t="str">
        <f t="shared" si="27"/>
        <v>2025</v>
      </c>
      <c r="G333" s="4">
        <f t="shared" si="28"/>
        <v>12</v>
      </c>
      <c r="H333" s="3" t="str">
        <f t="shared" si="29"/>
        <v>Q-4</v>
      </c>
      <c r="I333" t="s">
        <v>76</v>
      </c>
      <c r="J333" t="s">
        <v>32</v>
      </c>
      <c r="K333">
        <v>2500</v>
      </c>
      <c r="L333" s="5">
        <v>4500</v>
      </c>
      <c r="M333">
        <v>3</v>
      </c>
      <c r="N333" t="s">
        <v>504</v>
      </c>
      <c r="O333" t="s">
        <v>506</v>
      </c>
      <c r="P333" t="s">
        <v>25</v>
      </c>
      <c r="Q333" s="5">
        <f>Table1[[#This Row],[Quantity]]*Table1[[#This Row],[Unit_Price]]</f>
        <v>11250000</v>
      </c>
      <c r="R333" t="str">
        <f>IF(Table1[[#This Row],[Delivery_Days]]&lt;=3,"Fast",IF(Table1[[#This Row],[Delivery_Days]]&lt;=7,"Normal","Late"))</f>
        <v>Fast</v>
      </c>
    </row>
    <row r="334" spans="1:18" x14ac:dyDescent="0.35">
      <c r="A334" t="s">
        <v>354</v>
      </c>
      <c r="B334" t="str">
        <f t="shared" si="25"/>
        <v>APX1414</v>
      </c>
      <c r="C334" s="3">
        <v>45971</v>
      </c>
      <c r="D334" s="3">
        <f>IF(ISNUMBER(C334), C334, DATE(RIGHT(C334, 4), MATCH(LEFT(C334, 3), {"Jan","Feb","Mar","Apr","May","Jun","Jul","Aug","Sep","Oct","Nov","Dec"}, 0), MID(C334, 5, 2)))</f>
        <v>45971</v>
      </c>
      <c r="E334" s="3" t="str">
        <f t="shared" si="26"/>
        <v>Nov</v>
      </c>
      <c r="F334" s="3" t="str">
        <f t="shared" si="27"/>
        <v>2025</v>
      </c>
      <c r="G334" s="4">
        <f t="shared" si="28"/>
        <v>11</v>
      </c>
      <c r="H334" s="3" t="str">
        <f t="shared" si="29"/>
        <v>Q-4</v>
      </c>
      <c r="I334" t="s">
        <v>503</v>
      </c>
      <c r="J334" t="s">
        <v>32</v>
      </c>
      <c r="K334">
        <v>2500</v>
      </c>
      <c r="L334" s="5">
        <v>850000</v>
      </c>
      <c r="M334">
        <v>10</v>
      </c>
      <c r="N334" t="s">
        <v>40</v>
      </c>
      <c r="O334" t="s">
        <v>506</v>
      </c>
      <c r="P334" t="s">
        <v>74</v>
      </c>
      <c r="Q334" s="5">
        <f>Table1[[#This Row],[Quantity]]*Table1[[#This Row],[Unit_Price]]</f>
        <v>2125000000</v>
      </c>
      <c r="R334" t="str">
        <f>IF(Table1[[#This Row],[Delivery_Days]]&lt;=3,"Fast",IF(Table1[[#This Row],[Delivery_Days]]&lt;=7,"Normal","Late"))</f>
        <v>Late</v>
      </c>
    </row>
    <row r="335" spans="1:18" x14ac:dyDescent="0.35">
      <c r="A335" t="s">
        <v>234</v>
      </c>
      <c r="B335" t="str">
        <f t="shared" si="25"/>
        <v>APX1380</v>
      </c>
      <c r="C335" s="3">
        <v>45925</v>
      </c>
      <c r="D335" s="3">
        <f>IF(ISNUMBER(C335), C335, DATE(RIGHT(C335, 4), MATCH(LEFT(C335, 3), {"Jan","Feb","Mar","Apr","May","Jun","Jul","Aug","Sep","Oct","Nov","Dec"}, 0), MID(C335, 5, 2)))</f>
        <v>45925</v>
      </c>
      <c r="E335" s="3" t="str">
        <f t="shared" si="26"/>
        <v>Sep</v>
      </c>
      <c r="F335" s="3" t="str">
        <f t="shared" si="27"/>
        <v>2025</v>
      </c>
      <c r="G335" s="4">
        <f t="shared" si="28"/>
        <v>9</v>
      </c>
      <c r="H335" s="3" t="str">
        <f t="shared" si="29"/>
        <v>Q-4</v>
      </c>
      <c r="I335" t="s">
        <v>503</v>
      </c>
      <c r="J335" t="s">
        <v>39</v>
      </c>
      <c r="K335">
        <v>30</v>
      </c>
      <c r="L335" s="5">
        <v>4500</v>
      </c>
      <c r="M335">
        <v>3</v>
      </c>
      <c r="N335" t="s">
        <v>70</v>
      </c>
      <c r="O335" t="s">
        <v>506</v>
      </c>
      <c r="P335" t="s">
        <v>15</v>
      </c>
      <c r="Q335" s="5">
        <f>Table1[[#This Row],[Quantity]]*Table1[[#This Row],[Unit_Price]]</f>
        <v>135000</v>
      </c>
      <c r="R335" t="str">
        <f>IF(Table1[[#This Row],[Delivery_Days]]&lt;=3,"Fast",IF(Table1[[#This Row],[Delivery_Days]]&lt;=7,"Normal","Late"))</f>
        <v>Fast</v>
      </c>
    </row>
    <row r="336" spans="1:18" x14ac:dyDescent="0.35">
      <c r="A336" t="s">
        <v>381</v>
      </c>
      <c r="B336" t="str">
        <f t="shared" si="25"/>
        <v>APX1378</v>
      </c>
      <c r="C336" s="3" t="s">
        <v>365</v>
      </c>
      <c r="D336" s="3">
        <f>IF(ISNUMBER(C336), C336, DATE(RIGHT(C336, 4), MATCH(LEFT(C336, 3), {"Jan","Feb","Mar","Apr","May","Jun","Jul","Aug","Sep","Oct","Nov","Dec"}, 0), MID(C336, 5, 2)))</f>
        <v>45783</v>
      </c>
      <c r="E336" s="3" t="str">
        <f t="shared" si="26"/>
        <v>May</v>
      </c>
      <c r="F336" s="3" t="str">
        <f t="shared" si="27"/>
        <v>2025</v>
      </c>
      <c r="G336" s="4">
        <f t="shared" si="28"/>
        <v>5</v>
      </c>
      <c r="H336" s="3" t="str">
        <f t="shared" si="29"/>
        <v>Q-2</v>
      </c>
      <c r="I336" t="s">
        <v>502</v>
      </c>
      <c r="J336" t="s">
        <v>28</v>
      </c>
      <c r="K336">
        <v>12</v>
      </c>
      <c r="L336" s="5">
        <v>4500</v>
      </c>
      <c r="M336">
        <v>95</v>
      </c>
      <c r="N336" t="s">
        <v>40</v>
      </c>
      <c r="O336" t="s">
        <v>506</v>
      </c>
      <c r="P336" t="s">
        <v>74</v>
      </c>
      <c r="Q336" s="5">
        <f>Table1[[#This Row],[Quantity]]*Table1[[#This Row],[Unit_Price]]</f>
        <v>54000</v>
      </c>
      <c r="R336" t="str">
        <f>IF(Table1[[#This Row],[Delivery_Days]]&lt;=3,"Fast",IF(Table1[[#This Row],[Delivery_Days]]&lt;=7,"Normal","Late"))</f>
        <v>Late</v>
      </c>
    </row>
    <row r="337" spans="1:18" x14ac:dyDescent="0.35">
      <c r="A337" t="s">
        <v>90</v>
      </c>
      <c r="B337" t="str">
        <f t="shared" si="25"/>
        <v>APX1340</v>
      </c>
      <c r="C337" s="3">
        <v>45892</v>
      </c>
      <c r="D337" s="3">
        <f>IF(ISNUMBER(C337), C337, DATE(RIGHT(C337, 4), MATCH(LEFT(C337, 3), {"Jan","Feb","Mar","Apr","May","Jun","Jul","Aug","Sep","Oct","Nov","Dec"}, 0), MID(C337, 5, 2)))</f>
        <v>45892</v>
      </c>
      <c r="E337" s="3" t="str">
        <f t="shared" si="26"/>
        <v>Aug</v>
      </c>
      <c r="F337" s="3" t="str">
        <f t="shared" si="27"/>
        <v>2025</v>
      </c>
      <c r="G337" s="4">
        <f t="shared" si="28"/>
        <v>8</v>
      </c>
      <c r="H337" s="3" t="str">
        <f t="shared" si="29"/>
        <v>Q-3</v>
      </c>
      <c r="I337" t="s">
        <v>17</v>
      </c>
      <c r="J337" t="s">
        <v>89</v>
      </c>
      <c r="K337">
        <v>187</v>
      </c>
      <c r="L337" s="5">
        <v>4500</v>
      </c>
      <c r="M337">
        <v>3</v>
      </c>
      <c r="N337" t="s">
        <v>40</v>
      </c>
      <c r="O337" t="s">
        <v>14</v>
      </c>
      <c r="P337" t="s">
        <v>25</v>
      </c>
      <c r="Q337" s="5">
        <f>Table1[[#This Row],[Quantity]]*Table1[[#This Row],[Unit_Price]]</f>
        <v>841500</v>
      </c>
      <c r="R337" t="str">
        <f>IF(Table1[[#This Row],[Delivery_Days]]&lt;=3,"Fast",IF(Table1[[#This Row],[Delivery_Days]]&lt;=7,"Normal","Late"))</f>
        <v>Fast</v>
      </c>
    </row>
    <row r="338" spans="1:18" x14ac:dyDescent="0.35">
      <c r="A338" t="s">
        <v>351</v>
      </c>
      <c r="B338" t="str">
        <f t="shared" si="25"/>
        <v>APX1324</v>
      </c>
      <c r="C338" s="3" t="s">
        <v>383</v>
      </c>
      <c r="D338" s="3">
        <f>IF(ISNUMBER(C338), C338, DATE(RIGHT(C338, 4), MATCH(LEFT(C338, 3), {"Jan","Feb","Mar","Apr","May","Jun","Jul","Aug","Sep","Oct","Nov","Dec"}, 0), MID(C338, 5, 2)))</f>
        <v>45712</v>
      </c>
      <c r="E338" s="3" t="str">
        <f t="shared" si="26"/>
        <v>Feb</v>
      </c>
      <c r="F338" s="3" t="str">
        <f t="shared" si="27"/>
        <v>2025</v>
      </c>
      <c r="G338" s="4">
        <f t="shared" si="28"/>
        <v>2</v>
      </c>
      <c r="H338" s="3" t="str">
        <f t="shared" si="29"/>
        <v>Q-1</v>
      </c>
      <c r="I338" t="s">
        <v>503</v>
      </c>
      <c r="J338" t="s">
        <v>32</v>
      </c>
      <c r="K338">
        <v>30</v>
      </c>
      <c r="L338" s="5">
        <v>800</v>
      </c>
      <c r="M338">
        <v>13</v>
      </c>
      <c r="N338" t="s">
        <v>560</v>
      </c>
      <c r="O338" t="s">
        <v>506</v>
      </c>
      <c r="P338" t="s">
        <v>25</v>
      </c>
      <c r="Q338" s="5">
        <f>Table1[[#This Row],[Quantity]]*Table1[[#This Row],[Unit_Price]]</f>
        <v>24000</v>
      </c>
      <c r="R338" t="str">
        <f>IF(Table1[[#This Row],[Delivery_Days]]&lt;=3,"Fast",IF(Table1[[#This Row],[Delivery_Days]]&lt;=7,"Normal","Late"))</f>
        <v>Late</v>
      </c>
    </row>
    <row r="339" spans="1:18" x14ac:dyDescent="0.35">
      <c r="A339" t="s">
        <v>384</v>
      </c>
      <c r="B339" t="str">
        <f t="shared" si="25"/>
        <v>APX1240</v>
      </c>
      <c r="C339" s="3" t="s">
        <v>385</v>
      </c>
      <c r="D339" s="3">
        <f>IF(ISNUMBER(C339), C339, DATE(RIGHT(C339, 4), MATCH(LEFT(C339, 3), {"Jan","Feb","Mar","Apr","May","Jun","Jul","Aug","Sep","Oct","Nov","Dec"}, 0), MID(C339, 5, 2)))</f>
        <v>45802</v>
      </c>
      <c r="E339" s="3" t="str">
        <f t="shared" si="26"/>
        <v>May</v>
      </c>
      <c r="F339" s="3" t="str">
        <f t="shared" si="27"/>
        <v>2025</v>
      </c>
      <c r="G339" s="4">
        <f t="shared" si="28"/>
        <v>5</v>
      </c>
      <c r="H339" s="3" t="str">
        <f t="shared" si="29"/>
        <v>Q-2</v>
      </c>
      <c r="I339" t="s">
        <v>17</v>
      </c>
      <c r="J339" t="s">
        <v>32</v>
      </c>
      <c r="K339">
        <v>30</v>
      </c>
      <c r="L339" s="5">
        <v>29641</v>
      </c>
      <c r="M339">
        <v>3</v>
      </c>
      <c r="N339" t="s">
        <v>40</v>
      </c>
      <c r="O339" t="s">
        <v>506</v>
      </c>
      <c r="P339" t="s">
        <v>74</v>
      </c>
      <c r="Q339" s="5">
        <f>Table1[[#This Row],[Quantity]]*Table1[[#This Row],[Unit_Price]]</f>
        <v>889230</v>
      </c>
      <c r="R339" t="str">
        <f>IF(Table1[[#This Row],[Delivery_Days]]&lt;=3,"Fast",IF(Table1[[#This Row],[Delivery_Days]]&lt;=7,"Normal","Late"))</f>
        <v>Fast</v>
      </c>
    </row>
    <row r="340" spans="1:18" x14ac:dyDescent="0.35">
      <c r="A340" t="s">
        <v>92</v>
      </c>
      <c r="B340" t="str">
        <f t="shared" si="25"/>
        <v>APX1232</v>
      </c>
      <c r="C340" s="3">
        <v>45989</v>
      </c>
      <c r="D340" s="3">
        <f>IF(ISNUMBER(C340), C340, DATE(RIGHT(C340, 4), MATCH(LEFT(C340, 3), {"Jan","Feb","Mar","Apr","May","Jun","Jul","Aug","Sep","Oct","Nov","Dec"}, 0), MID(C340, 5, 2)))</f>
        <v>45989</v>
      </c>
      <c r="E340" s="3" t="str">
        <f t="shared" si="26"/>
        <v>Nov</v>
      </c>
      <c r="F340" s="3" t="str">
        <f t="shared" si="27"/>
        <v>2025</v>
      </c>
      <c r="G340" s="4">
        <f t="shared" si="28"/>
        <v>11</v>
      </c>
      <c r="H340" s="3" t="str">
        <f t="shared" si="29"/>
        <v>Q-4</v>
      </c>
      <c r="I340" t="s">
        <v>76</v>
      </c>
      <c r="J340" t="s">
        <v>32</v>
      </c>
      <c r="K340">
        <v>6</v>
      </c>
      <c r="L340" s="5">
        <v>4500</v>
      </c>
      <c r="M340">
        <v>95</v>
      </c>
      <c r="N340" t="s">
        <v>40</v>
      </c>
      <c r="O340" t="s">
        <v>506</v>
      </c>
      <c r="P340" t="s">
        <v>74</v>
      </c>
      <c r="Q340" s="5">
        <f>Table1[[#This Row],[Quantity]]*Table1[[#This Row],[Unit_Price]]</f>
        <v>27000</v>
      </c>
      <c r="R340" t="str">
        <f>IF(Table1[[#This Row],[Delivery_Days]]&lt;=3,"Fast",IF(Table1[[#This Row],[Delivery_Days]]&lt;=7,"Normal","Late"))</f>
        <v>Late</v>
      </c>
    </row>
    <row r="341" spans="1:18" x14ac:dyDescent="0.35">
      <c r="A341" t="s">
        <v>311</v>
      </c>
      <c r="B341" t="str">
        <f t="shared" si="25"/>
        <v>APX1107</v>
      </c>
      <c r="C341" s="3">
        <v>45905</v>
      </c>
      <c r="D341" s="3">
        <f>IF(ISNUMBER(C341), C341, DATE(RIGHT(C341, 4), MATCH(LEFT(C341, 3), {"Jan","Feb","Mar","Apr","May","Jun","Jul","Aug","Sep","Oct","Nov","Dec"}, 0), MID(C341, 5, 2)))</f>
        <v>45905</v>
      </c>
      <c r="E341" s="3" t="str">
        <f t="shared" si="26"/>
        <v>Sep</v>
      </c>
      <c r="F341" s="3" t="str">
        <f t="shared" si="27"/>
        <v>2025</v>
      </c>
      <c r="G341" s="4">
        <f t="shared" si="28"/>
        <v>9</v>
      </c>
      <c r="H341" s="3" t="str">
        <f t="shared" si="29"/>
        <v>Q-4</v>
      </c>
      <c r="I341" t="s">
        <v>503</v>
      </c>
      <c r="J341" t="s">
        <v>73</v>
      </c>
      <c r="K341">
        <v>30</v>
      </c>
      <c r="L341" s="5">
        <v>35191</v>
      </c>
      <c r="M341">
        <v>3</v>
      </c>
      <c r="N341" t="s">
        <v>70</v>
      </c>
      <c r="O341" t="s">
        <v>506</v>
      </c>
      <c r="P341" t="s">
        <v>15</v>
      </c>
      <c r="Q341" s="5">
        <f>Table1[[#This Row],[Quantity]]*Table1[[#This Row],[Unit_Price]]</f>
        <v>1055730</v>
      </c>
      <c r="R341" t="str">
        <f>IF(Table1[[#This Row],[Delivery_Days]]&lt;=3,"Fast",IF(Table1[[#This Row],[Delivery_Days]]&lt;=7,"Normal","Late"))</f>
        <v>Fast</v>
      </c>
    </row>
    <row r="342" spans="1:18" x14ac:dyDescent="0.35">
      <c r="A342" t="s">
        <v>222</v>
      </c>
      <c r="B342" t="str">
        <f t="shared" si="25"/>
        <v>APX1369</v>
      </c>
      <c r="C342" s="3">
        <v>45877</v>
      </c>
      <c r="D342" s="3">
        <f>IF(ISNUMBER(C342), C342, DATE(RIGHT(C342, 4), MATCH(LEFT(C342, 3), {"Jan","Feb","Mar","Apr","May","Jun","Jul","Aug","Sep","Oct","Nov","Dec"}, 0), MID(C342, 5, 2)))</f>
        <v>45877</v>
      </c>
      <c r="E342" s="3" t="str">
        <f t="shared" si="26"/>
        <v>Aug</v>
      </c>
      <c r="F342" s="3" t="str">
        <f t="shared" si="27"/>
        <v>2025</v>
      </c>
      <c r="G342" s="4">
        <f t="shared" si="28"/>
        <v>8</v>
      </c>
      <c r="H342" s="3" t="str">
        <f t="shared" si="29"/>
        <v>Q-3</v>
      </c>
      <c r="I342" t="s">
        <v>76</v>
      </c>
      <c r="J342" t="s">
        <v>32</v>
      </c>
      <c r="K342">
        <v>12</v>
      </c>
      <c r="L342" s="5">
        <v>4500</v>
      </c>
      <c r="M342">
        <v>3</v>
      </c>
      <c r="N342" t="s">
        <v>70</v>
      </c>
      <c r="O342" t="s">
        <v>506</v>
      </c>
      <c r="P342" t="s">
        <v>25</v>
      </c>
      <c r="Q342" s="5">
        <f>Table1[[#This Row],[Quantity]]*Table1[[#This Row],[Unit_Price]]</f>
        <v>54000</v>
      </c>
      <c r="R342" t="str">
        <f>IF(Table1[[#This Row],[Delivery_Days]]&lt;=3,"Fast",IF(Table1[[#This Row],[Delivery_Days]]&lt;=7,"Normal","Late"))</f>
        <v>Fast</v>
      </c>
    </row>
    <row r="343" spans="1:18" x14ac:dyDescent="0.35">
      <c r="A343" t="s">
        <v>52</v>
      </c>
      <c r="B343" t="str">
        <f t="shared" si="25"/>
        <v>APX1309</v>
      </c>
      <c r="C343" s="3">
        <v>45909</v>
      </c>
      <c r="D343" s="3">
        <f>IF(ISNUMBER(C343), C343, DATE(RIGHT(C343, 4), MATCH(LEFT(C343, 3), {"Jan","Feb","Mar","Apr","May","Jun","Jul","Aug","Sep","Oct","Nov","Dec"}, 0), MID(C343, 5, 2)))</f>
        <v>45909</v>
      </c>
      <c r="E343" s="3" t="str">
        <f t="shared" si="26"/>
        <v>Sep</v>
      </c>
      <c r="F343" s="3" t="str">
        <f t="shared" si="27"/>
        <v>2025</v>
      </c>
      <c r="G343" s="4">
        <f t="shared" si="28"/>
        <v>9</v>
      </c>
      <c r="H343" s="3" t="str">
        <f t="shared" si="29"/>
        <v>Q-4</v>
      </c>
      <c r="I343" t="s">
        <v>11</v>
      </c>
      <c r="J343" t="s">
        <v>89</v>
      </c>
      <c r="K343">
        <v>102</v>
      </c>
      <c r="L343" s="5">
        <v>20113</v>
      </c>
      <c r="M343">
        <v>2</v>
      </c>
      <c r="N343" t="s">
        <v>40</v>
      </c>
      <c r="O343" t="s">
        <v>14</v>
      </c>
      <c r="P343" t="s">
        <v>25</v>
      </c>
      <c r="Q343" s="5">
        <f>Table1[[#This Row],[Quantity]]*Table1[[#This Row],[Unit_Price]]</f>
        <v>2051526</v>
      </c>
      <c r="R343" t="str">
        <f>IF(Table1[[#This Row],[Delivery_Days]]&lt;=3,"Fast",IF(Table1[[#This Row],[Delivery_Days]]&lt;=7,"Normal","Late"))</f>
        <v>Fast</v>
      </c>
    </row>
    <row r="344" spans="1:18" x14ac:dyDescent="0.35">
      <c r="A344" t="s">
        <v>288</v>
      </c>
      <c r="B344" t="str">
        <f t="shared" si="25"/>
        <v>APX1085</v>
      </c>
      <c r="C344" s="3">
        <v>45880</v>
      </c>
      <c r="D344" s="3">
        <f>IF(ISNUMBER(C344), C344, DATE(RIGHT(C344, 4), MATCH(LEFT(C344, 3), {"Jan","Feb","Mar","Apr","May","Jun","Jul","Aug","Sep","Oct","Nov","Dec"}, 0), MID(C344, 5, 2)))</f>
        <v>45880</v>
      </c>
      <c r="E344" s="3" t="str">
        <f t="shared" si="26"/>
        <v>Aug</v>
      </c>
      <c r="F344" s="3" t="str">
        <f t="shared" si="27"/>
        <v>2025</v>
      </c>
      <c r="G344" s="4">
        <f t="shared" si="28"/>
        <v>8</v>
      </c>
      <c r="H344" s="3" t="str">
        <f t="shared" si="29"/>
        <v>Q-3</v>
      </c>
      <c r="I344" t="s">
        <v>11</v>
      </c>
      <c r="J344" t="s">
        <v>32</v>
      </c>
      <c r="K344">
        <v>12</v>
      </c>
      <c r="L344" s="5">
        <v>800</v>
      </c>
      <c r="M344">
        <v>3</v>
      </c>
      <c r="N344" t="s">
        <v>560</v>
      </c>
      <c r="O344" t="s">
        <v>506</v>
      </c>
      <c r="P344" t="s">
        <v>25</v>
      </c>
      <c r="Q344" s="5">
        <f>Table1[[#This Row],[Quantity]]*Table1[[#This Row],[Unit_Price]]</f>
        <v>9600</v>
      </c>
      <c r="R344" t="str">
        <f>IF(Table1[[#This Row],[Delivery_Days]]&lt;=3,"Fast",IF(Table1[[#This Row],[Delivery_Days]]&lt;=7,"Normal","Late"))</f>
        <v>Fast</v>
      </c>
    </row>
    <row r="345" spans="1:18" x14ac:dyDescent="0.35">
      <c r="A345" t="s">
        <v>21</v>
      </c>
      <c r="B345" t="str">
        <f t="shared" si="25"/>
        <v>APX1176</v>
      </c>
      <c r="C345" s="3">
        <v>45772</v>
      </c>
      <c r="D345" s="3">
        <f>IF(ISNUMBER(C345), C345, DATE(RIGHT(C345, 4), MATCH(LEFT(C345, 3), {"Jan","Feb","Mar","Apr","May","Jun","Jul","Aug","Sep","Oct","Nov","Dec"}, 0), MID(C345, 5, 2)))</f>
        <v>45772</v>
      </c>
      <c r="E345" s="3" t="str">
        <f t="shared" si="26"/>
        <v>Apr</v>
      </c>
      <c r="F345" s="3" t="str">
        <f t="shared" si="27"/>
        <v>2025</v>
      </c>
      <c r="G345" s="4">
        <f t="shared" si="28"/>
        <v>4</v>
      </c>
      <c r="H345" s="3" t="str">
        <f t="shared" si="29"/>
        <v>Q-2</v>
      </c>
      <c r="I345" t="s">
        <v>76</v>
      </c>
      <c r="J345" t="s">
        <v>28</v>
      </c>
      <c r="K345">
        <v>2500</v>
      </c>
      <c r="L345" s="5">
        <v>12970</v>
      </c>
      <c r="M345">
        <v>12</v>
      </c>
      <c r="N345" t="s">
        <v>70</v>
      </c>
      <c r="O345" t="s">
        <v>14</v>
      </c>
      <c r="P345" t="s">
        <v>25</v>
      </c>
      <c r="Q345" s="5">
        <f>Table1[[#This Row],[Quantity]]*Table1[[#This Row],[Unit_Price]]</f>
        <v>32425000</v>
      </c>
      <c r="R345" t="str">
        <f>IF(Table1[[#This Row],[Delivery_Days]]&lt;=3,"Fast",IF(Table1[[#This Row],[Delivery_Days]]&lt;=7,"Normal","Late"))</f>
        <v>Late</v>
      </c>
    </row>
    <row r="346" spans="1:18" x14ac:dyDescent="0.35">
      <c r="A346" t="s">
        <v>386</v>
      </c>
      <c r="B346" t="str">
        <f t="shared" si="25"/>
        <v>APX1113</v>
      </c>
      <c r="C346" s="3">
        <v>45760</v>
      </c>
      <c r="D346" s="3">
        <f>IF(ISNUMBER(C346), C346, DATE(RIGHT(C346, 4), MATCH(LEFT(C346, 3), {"Jan","Feb","Mar","Apr","May","Jun","Jul","Aug","Sep","Oct","Nov","Dec"}, 0), MID(C346, 5, 2)))</f>
        <v>45760</v>
      </c>
      <c r="E346" s="3" t="str">
        <f t="shared" si="26"/>
        <v>Apr</v>
      </c>
      <c r="F346" s="3" t="str">
        <f t="shared" si="27"/>
        <v>2025</v>
      </c>
      <c r="G346" s="4">
        <f t="shared" si="28"/>
        <v>4</v>
      </c>
      <c r="H346" s="3" t="str">
        <f t="shared" si="29"/>
        <v>Q-2</v>
      </c>
      <c r="I346" t="s">
        <v>503</v>
      </c>
      <c r="J346" t="s">
        <v>32</v>
      </c>
      <c r="K346">
        <v>30</v>
      </c>
      <c r="L346" s="5">
        <v>4500</v>
      </c>
      <c r="M346">
        <v>6</v>
      </c>
      <c r="N346" t="s">
        <v>40</v>
      </c>
      <c r="O346" t="s">
        <v>46</v>
      </c>
      <c r="P346" t="s">
        <v>25</v>
      </c>
      <c r="Q346" s="5">
        <f>Table1[[#This Row],[Quantity]]*Table1[[#This Row],[Unit_Price]]</f>
        <v>135000</v>
      </c>
      <c r="R346" t="str">
        <f>IF(Table1[[#This Row],[Delivery_Days]]&lt;=3,"Fast",IF(Table1[[#This Row],[Delivery_Days]]&lt;=7,"Normal","Late"))</f>
        <v>Normal</v>
      </c>
    </row>
    <row r="347" spans="1:18" x14ac:dyDescent="0.35">
      <c r="A347" t="s">
        <v>232</v>
      </c>
      <c r="B347" t="str">
        <f t="shared" si="25"/>
        <v>APX1266</v>
      </c>
      <c r="C347" s="3">
        <v>45885</v>
      </c>
      <c r="D347" s="3">
        <f>IF(ISNUMBER(C347), C347, DATE(RIGHT(C347, 4), MATCH(LEFT(C347, 3), {"Jan","Feb","Mar","Apr","May","Jun","Jul","Aug","Sep","Oct","Nov","Dec"}, 0), MID(C347, 5, 2)))</f>
        <v>45885</v>
      </c>
      <c r="E347" s="3" t="str">
        <f t="shared" si="26"/>
        <v>Aug</v>
      </c>
      <c r="F347" s="3" t="str">
        <f t="shared" si="27"/>
        <v>2025</v>
      </c>
      <c r="G347" s="4">
        <f t="shared" si="28"/>
        <v>8</v>
      </c>
      <c r="H347" s="3" t="str">
        <f t="shared" si="29"/>
        <v>Q-3</v>
      </c>
      <c r="I347" t="s">
        <v>503</v>
      </c>
      <c r="J347" t="s">
        <v>73</v>
      </c>
      <c r="K347">
        <v>12</v>
      </c>
      <c r="L347" s="5">
        <v>4500</v>
      </c>
      <c r="M347">
        <v>95</v>
      </c>
      <c r="N347" t="s">
        <v>40</v>
      </c>
      <c r="O347" t="s">
        <v>506</v>
      </c>
      <c r="P347" t="s">
        <v>15</v>
      </c>
      <c r="Q347" s="5">
        <f>Table1[[#This Row],[Quantity]]*Table1[[#This Row],[Unit_Price]]</f>
        <v>54000</v>
      </c>
      <c r="R347" t="str">
        <f>IF(Table1[[#This Row],[Delivery_Days]]&lt;=3,"Fast",IF(Table1[[#This Row],[Delivery_Days]]&lt;=7,"Normal","Late"))</f>
        <v>Late</v>
      </c>
    </row>
    <row r="348" spans="1:18" x14ac:dyDescent="0.35">
      <c r="A348" t="s">
        <v>114</v>
      </c>
      <c r="B348" t="str">
        <f t="shared" si="25"/>
        <v>APX1261</v>
      </c>
      <c r="C348" s="3" t="s">
        <v>388</v>
      </c>
      <c r="D348" s="3">
        <f>IF(ISNUMBER(C348), C348, DATE(RIGHT(C348, 4), MATCH(LEFT(C348, 3), {"Jan","Feb","Mar","Apr","May","Jun","Jul","Aug","Sep","Oct","Nov","Dec"}, 0), MID(C348, 5, 2)))</f>
        <v>45864</v>
      </c>
      <c r="E348" s="3" t="str">
        <f t="shared" si="26"/>
        <v>Jul</v>
      </c>
      <c r="F348" s="3" t="str">
        <f t="shared" si="27"/>
        <v>2025</v>
      </c>
      <c r="G348" s="4">
        <f t="shared" si="28"/>
        <v>7</v>
      </c>
      <c r="H348" s="3" t="str">
        <f t="shared" si="29"/>
        <v>Q-3</v>
      </c>
      <c r="I348" t="s">
        <v>503</v>
      </c>
      <c r="J348" t="s">
        <v>89</v>
      </c>
      <c r="K348">
        <v>2500</v>
      </c>
      <c r="L348" s="5">
        <v>850000</v>
      </c>
      <c r="M348">
        <v>3</v>
      </c>
      <c r="N348" t="s">
        <v>40</v>
      </c>
      <c r="O348" t="s">
        <v>506</v>
      </c>
      <c r="P348" t="s">
        <v>25</v>
      </c>
      <c r="Q348" s="5">
        <f>Table1[[#This Row],[Quantity]]*Table1[[#This Row],[Unit_Price]]</f>
        <v>2125000000</v>
      </c>
      <c r="R348" t="str">
        <f>IF(Table1[[#This Row],[Delivery_Days]]&lt;=3,"Fast",IF(Table1[[#This Row],[Delivery_Days]]&lt;=7,"Normal","Late"))</f>
        <v>Fast</v>
      </c>
    </row>
    <row r="349" spans="1:18" x14ac:dyDescent="0.35">
      <c r="A349" t="s">
        <v>299</v>
      </c>
      <c r="B349" t="str">
        <f t="shared" si="25"/>
        <v>APX1132</v>
      </c>
      <c r="C349" s="3" t="s">
        <v>389</v>
      </c>
      <c r="D349" s="3">
        <f>IF(ISNUMBER(C349), C349, DATE(RIGHT(C349, 4), MATCH(LEFT(C349, 3), {"Jan","Feb","Mar","Apr","May","Jun","Jul","Aug","Sep","Oct","Nov","Dec"}, 0), MID(C349, 5, 2)))</f>
        <v>45756</v>
      </c>
      <c r="E349" s="3" t="str">
        <f t="shared" si="26"/>
        <v>Apr</v>
      </c>
      <c r="F349" s="3" t="str">
        <f t="shared" si="27"/>
        <v>2025</v>
      </c>
      <c r="G349" s="4">
        <f t="shared" si="28"/>
        <v>4</v>
      </c>
      <c r="H349" s="3" t="str">
        <f t="shared" si="29"/>
        <v>Q-2</v>
      </c>
      <c r="I349" t="s">
        <v>76</v>
      </c>
      <c r="J349" t="s">
        <v>89</v>
      </c>
      <c r="K349">
        <v>2500</v>
      </c>
      <c r="L349" s="5">
        <v>34868</v>
      </c>
      <c r="M349">
        <v>3</v>
      </c>
      <c r="N349" t="s">
        <v>40</v>
      </c>
      <c r="O349" t="s">
        <v>506</v>
      </c>
      <c r="P349" t="s">
        <v>25</v>
      </c>
      <c r="Q349" s="5">
        <f>Table1[[#This Row],[Quantity]]*Table1[[#This Row],[Unit_Price]]</f>
        <v>87170000</v>
      </c>
      <c r="R349" t="str">
        <f>IF(Table1[[#This Row],[Delivery_Days]]&lt;=3,"Fast",IF(Table1[[#This Row],[Delivery_Days]]&lt;=7,"Normal","Late"))</f>
        <v>Fast</v>
      </c>
    </row>
    <row r="350" spans="1:18" x14ac:dyDescent="0.35">
      <c r="A350" t="s">
        <v>288</v>
      </c>
      <c r="B350" t="str">
        <f t="shared" si="25"/>
        <v>APX1085</v>
      </c>
      <c r="C350" s="3">
        <v>45660</v>
      </c>
      <c r="D350" s="3">
        <f>IF(ISNUMBER(C350), C350, DATE(RIGHT(C350, 4), MATCH(LEFT(C350, 3), {"Jan","Feb","Mar","Apr","May","Jun","Jul","Aug","Sep","Oct","Nov","Dec"}, 0), MID(C350, 5, 2)))</f>
        <v>45660</v>
      </c>
      <c r="E350" s="3" t="str">
        <f t="shared" si="26"/>
        <v>Jan</v>
      </c>
      <c r="F350" s="3" t="str">
        <f t="shared" si="27"/>
        <v>2025</v>
      </c>
      <c r="G350" s="4">
        <f t="shared" si="28"/>
        <v>1</v>
      </c>
      <c r="H350" s="3" t="str">
        <f t="shared" si="29"/>
        <v>Q-1</v>
      </c>
      <c r="I350" t="s">
        <v>76</v>
      </c>
      <c r="J350" t="s">
        <v>32</v>
      </c>
      <c r="K350">
        <v>62</v>
      </c>
      <c r="L350" s="5">
        <v>47436</v>
      </c>
      <c r="M350">
        <v>3</v>
      </c>
      <c r="N350" t="s">
        <v>560</v>
      </c>
      <c r="O350" t="s">
        <v>506</v>
      </c>
      <c r="P350" t="s">
        <v>15</v>
      </c>
      <c r="Q350" s="5">
        <f>Table1[[#This Row],[Quantity]]*Table1[[#This Row],[Unit_Price]]</f>
        <v>2941032</v>
      </c>
      <c r="R350" t="str">
        <f>IF(Table1[[#This Row],[Delivery_Days]]&lt;=3,"Fast",IF(Table1[[#This Row],[Delivery_Days]]&lt;=7,"Normal","Late"))</f>
        <v>Fast</v>
      </c>
    </row>
    <row r="351" spans="1:18" x14ac:dyDescent="0.35">
      <c r="A351" t="s">
        <v>390</v>
      </c>
      <c r="B351" t="str">
        <f t="shared" si="25"/>
        <v>APX1040</v>
      </c>
      <c r="C351" s="3">
        <v>45827</v>
      </c>
      <c r="D351" s="3">
        <f>IF(ISNUMBER(C351), C351, DATE(RIGHT(C351, 4), MATCH(LEFT(C351, 3), {"Jan","Feb","Mar","Apr","May","Jun","Jul","Aug","Sep","Oct","Nov","Dec"}, 0), MID(C351, 5, 2)))</f>
        <v>45827</v>
      </c>
      <c r="E351" s="3" t="str">
        <f t="shared" si="26"/>
        <v>Jun</v>
      </c>
      <c r="F351" s="3" t="str">
        <f t="shared" si="27"/>
        <v>2025</v>
      </c>
      <c r="G351" s="4">
        <f t="shared" si="28"/>
        <v>6</v>
      </c>
      <c r="H351" s="3" t="str">
        <f t="shared" si="29"/>
        <v>Q-2</v>
      </c>
      <c r="I351" t="s">
        <v>76</v>
      </c>
      <c r="J351" t="s">
        <v>32</v>
      </c>
      <c r="K351">
        <v>2500</v>
      </c>
      <c r="L351" s="5">
        <v>6500</v>
      </c>
      <c r="M351">
        <v>95</v>
      </c>
      <c r="N351" t="s">
        <v>504</v>
      </c>
      <c r="O351" t="s">
        <v>506</v>
      </c>
      <c r="P351" t="s">
        <v>25</v>
      </c>
      <c r="Q351" s="5">
        <f>Table1[[#This Row],[Quantity]]*Table1[[#This Row],[Unit_Price]]</f>
        <v>16250000</v>
      </c>
      <c r="R351" t="str">
        <f>IF(Table1[[#This Row],[Delivery_Days]]&lt;=3,"Fast",IF(Table1[[#This Row],[Delivery_Days]]&lt;=7,"Normal","Late"))</f>
        <v>Late</v>
      </c>
    </row>
    <row r="352" spans="1:18" x14ac:dyDescent="0.35">
      <c r="A352" t="s">
        <v>214</v>
      </c>
      <c r="B352" t="str">
        <f t="shared" si="25"/>
        <v>APX1146</v>
      </c>
      <c r="C352" s="3">
        <v>45997</v>
      </c>
      <c r="D352" s="3">
        <f>IF(ISNUMBER(C352), C352, DATE(RIGHT(C352, 4), MATCH(LEFT(C352, 3), {"Jan","Feb","Mar","Apr","May","Jun","Jul","Aug","Sep","Oct","Nov","Dec"}, 0), MID(C352, 5, 2)))</f>
        <v>45997</v>
      </c>
      <c r="E352" s="3" t="str">
        <f t="shared" si="26"/>
        <v>Dec</v>
      </c>
      <c r="F352" s="3" t="str">
        <f t="shared" si="27"/>
        <v>2025</v>
      </c>
      <c r="G352" s="4">
        <f t="shared" si="28"/>
        <v>12</v>
      </c>
      <c r="H352" s="3" t="str">
        <f t="shared" si="29"/>
        <v>Q-4</v>
      </c>
      <c r="I352" t="s">
        <v>76</v>
      </c>
      <c r="J352" t="s">
        <v>32</v>
      </c>
      <c r="K352">
        <v>34</v>
      </c>
      <c r="L352" s="5">
        <v>800</v>
      </c>
      <c r="M352">
        <v>95</v>
      </c>
      <c r="N352" t="s">
        <v>40</v>
      </c>
      <c r="O352" t="s">
        <v>14</v>
      </c>
      <c r="P352" t="s">
        <v>74</v>
      </c>
      <c r="Q352" s="5">
        <f>Table1[[#This Row],[Quantity]]*Table1[[#This Row],[Unit_Price]]</f>
        <v>27200</v>
      </c>
      <c r="R352" t="str">
        <f>IF(Table1[[#This Row],[Delivery_Days]]&lt;=3,"Fast",IF(Table1[[#This Row],[Delivery_Days]]&lt;=7,"Normal","Late"))</f>
        <v>Late</v>
      </c>
    </row>
    <row r="353" spans="1:18" x14ac:dyDescent="0.35">
      <c r="A353" t="s">
        <v>230</v>
      </c>
      <c r="B353" t="str">
        <f t="shared" si="25"/>
        <v>APX1268</v>
      </c>
      <c r="C353" s="3">
        <v>45707</v>
      </c>
      <c r="D353" s="3">
        <f>IF(ISNUMBER(C353), C353, DATE(RIGHT(C353, 4), MATCH(LEFT(C353, 3), {"Jan","Feb","Mar","Apr","May","Jun","Jul","Aug","Sep","Oct","Nov","Dec"}, 0), MID(C353, 5, 2)))</f>
        <v>45707</v>
      </c>
      <c r="E353" s="3" t="str">
        <f t="shared" si="26"/>
        <v>Feb</v>
      </c>
      <c r="F353" s="3" t="str">
        <f t="shared" si="27"/>
        <v>2025</v>
      </c>
      <c r="G353" s="4">
        <f t="shared" si="28"/>
        <v>2</v>
      </c>
      <c r="H353" s="3" t="str">
        <f t="shared" si="29"/>
        <v>Q-1</v>
      </c>
      <c r="I353" t="s">
        <v>502</v>
      </c>
      <c r="J353" t="s">
        <v>32</v>
      </c>
      <c r="K353">
        <v>30</v>
      </c>
      <c r="L353" s="5">
        <v>850000</v>
      </c>
      <c r="M353">
        <v>95</v>
      </c>
      <c r="N353" t="s">
        <v>40</v>
      </c>
      <c r="O353" t="s">
        <v>14</v>
      </c>
      <c r="P353" t="s">
        <v>74</v>
      </c>
      <c r="Q353" s="5">
        <f>Table1[[#This Row],[Quantity]]*Table1[[#This Row],[Unit_Price]]</f>
        <v>25500000</v>
      </c>
      <c r="R353" t="str">
        <f>IF(Table1[[#This Row],[Delivery_Days]]&lt;=3,"Fast",IF(Table1[[#This Row],[Delivery_Days]]&lt;=7,"Normal","Late"))</f>
        <v>Late</v>
      </c>
    </row>
    <row r="354" spans="1:18" x14ac:dyDescent="0.35">
      <c r="A354" t="s">
        <v>392</v>
      </c>
      <c r="B354" t="str">
        <f t="shared" si="25"/>
        <v>APX1038</v>
      </c>
      <c r="C354" s="3" t="s">
        <v>393</v>
      </c>
      <c r="D354" s="3">
        <f>IF(ISNUMBER(C354), C354, DATE(RIGHT(C354, 4), MATCH(LEFT(C354, 3), {"Jan","Feb","Mar","Apr","May","Jun","Jul","Aug","Sep","Oct","Nov","Dec"}, 0), MID(C354, 5, 2)))</f>
        <v>45859</v>
      </c>
      <c r="E354" s="3" t="str">
        <f t="shared" si="26"/>
        <v>Jul</v>
      </c>
      <c r="F354" s="3" t="str">
        <f t="shared" si="27"/>
        <v>2025</v>
      </c>
      <c r="G354" s="4">
        <f t="shared" si="28"/>
        <v>7</v>
      </c>
      <c r="H354" s="3" t="str">
        <f t="shared" si="29"/>
        <v>Q-3</v>
      </c>
      <c r="I354" t="s">
        <v>76</v>
      </c>
      <c r="J354" t="s">
        <v>73</v>
      </c>
      <c r="K354">
        <v>30</v>
      </c>
      <c r="L354" s="5">
        <v>800</v>
      </c>
      <c r="M354">
        <v>3</v>
      </c>
      <c r="N354" t="s">
        <v>40</v>
      </c>
      <c r="O354" t="s">
        <v>506</v>
      </c>
      <c r="P354" t="s">
        <v>42</v>
      </c>
      <c r="Q354" s="5">
        <f>Table1[[#This Row],[Quantity]]*Table1[[#This Row],[Unit_Price]]</f>
        <v>24000</v>
      </c>
      <c r="R354" t="str">
        <f>IF(Table1[[#This Row],[Delivery_Days]]&lt;=3,"Fast",IF(Table1[[#This Row],[Delivery_Days]]&lt;=7,"Normal","Late"))</f>
        <v>Fast</v>
      </c>
    </row>
    <row r="355" spans="1:18" x14ac:dyDescent="0.35">
      <c r="A355" t="s">
        <v>394</v>
      </c>
      <c r="B355" t="str">
        <f t="shared" si="25"/>
        <v>APX1234</v>
      </c>
      <c r="C355" s="3">
        <v>45915</v>
      </c>
      <c r="D355" s="3">
        <f>IF(ISNUMBER(C355), C355, DATE(RIGHT(C355, 4), MATCH(LEFT(C355, 3), {"Jan","Feb","Mar","Apr","May","Jun","Jul","Aug","Sep","Oct","Nov","Dec"}, 0), MID(C355, 5, 2)))</f>
        <v>45915</v>
      </c>
      <c r="E355" s="3" t="str">
        <f t="shared" si="26"/>
        <v>Sep</v>
      </c>
      <c r="F355" s="3" t="str">
        <f t="shared" si="27"/>
        <v>2025</v>
      </c>
      <c r="G355" s="4">
        <f t="shared" si="28"/>
        <v>9</v>
      </c>
      <c r="H355" s="3" t="str">
        <f t="shared" si="29"/>
        <v>Q-4</v>
      </c>
      <c r="I355" t="s">
        <v>510</v>
      </c>
      <c r="J355" t="s">
        <v>89</v>
      </c>
      <c r="K355">
        <v>2500</v>
      </c>
      <c r="L355" s="5">
        <v>850000</v>
      </c>
      <c r="M355">
        <v>3</v>
      </c>
      <c r="N355" t="s">
        <v>560</v>
      </c>
      <c r="O355" t="s">
        <v>506</v>
      </c>
      <c r="P355" t="s">
        <v>15</v>
      </c>
      <c r="Q355" s="5">
        <f>Table1[[#This Row],[Quantity]]*Table1[[#This Row],[Unit_Price]]</f>
        <v>2125000000</v>
      </c>
      <c r="R355" t="str">
        <f>IF(Table1[[#This Row],[Delivery_Days]]&lt;=3,"Fast",IF(Table1[[#This Row],[Delivery_Days]]&lt;=7,"Normal","Late"))</f>
        <v>Fast</v>
      </c>
    </row>
    <row r="356" spans="1:18" x14ac:dyDescent="0.35">
      <c r="A356" t="s">
        <v>55</v>
      </c>
      <c r="B356" t="str">
        <f t="shared" si="25"/>
        <v>APX1271</v>
      </c>
      <c r="C356" s="3">
        <v>45989</v>
      </c>
      <c r="D356" s="3">
        <f>IF(ISNUMBER(C356), C356, DATE(RIGHT(C356, 4), MATCH(LEFT(C356, 3), {"Jan","Feb","Mar","Apr","May","Jun","Jul","Aug","Sep","Oct","Nov","Dec"}, 0), MID(C356, 5, 2)))</f>
        <v>45989</v>
      </c>
      <c r="E356" s="3" t="str">
        <f t="shared" si="26"/>
        <v>Nov</v>
      </c>
      <c r="F356" s="3" t="str">
        <f t="shared" si="27"/>
        <v>2025</v>
      </c>
      <c r="G356" s="4">
        <f t="shared" si="28"/>
        <v>11</v>
      </c>
      <c r="H356" s="3" t="str">
        <f t="shared" si="29"/>
        <v>Q-4</v>
      </c>
      <c r="I356" t="s">
        <v>503</v>
      </c>
      <c r="J356" t="s">
        <v>28</v>
      </c>
      <c r="K356">
        <v>79</v>
      </c>
      <c r="L356" s="5">
        <v>800</v>
      </c>
      <c r="M356">
        <v>2</v>
      </c>
      <c r="N356" t="s">
        <v>40</v>
      </c>
      <c r="O356" t="s">
        <v>506</v>
      </c>
      <c r="P356" t="s">
        <v>42</v>
      </c>
      <c r="Q356" s="5">
        <f>Table1[[#This Row],[Quantity]]*Table1[[#This Row],[Unit_Price]]</f>
        <v>63200</v>
      </c>
      <c r="R356" t="str">
        <f>IF(Table1[[#This Row],[Delivery_Days]]&lt;=3,"Fast",IF(Table1[[#This Row],[Delivery_Days]]&lt;=7,"Normal","Late"))</f>
        <v>Fast</v>
      </c>
    </row>
    <row r="357" spans="1:18" x14ac:dyDescent="0.35">
      <c r="A357" t="s">
        <v>324</v>
      </c>
      <c r="B357" t="str">
        <f t="shared" si="25"/>
        <v>APX1185</v>
      </c>
      <c r="C357" s="3">
        <v>45970</v>
      </c>
      <c r="D357" s="3">
        <f>IF(ISNUMBER(C357), C357, DATE(RIGHT(C357, 4), MATCH(LEFT(C357, 3), {"Jan","Feb","Mar","Apr","May","Jun","Jul","Aug","Sep","Oct","Nov","Dec"}, 0), MID(C357, 5, 2)))</f>
        <v>45970</v>
      </c>
      <c r="E357" s="3" t="str">
        <f t="shared" si="26"/>
        <v>Nov</v>
      </c>
      <c r="F357" s="3" t="str">
        <f t="shared" si="27"/>
        <v>2025</v>
      </c>
      <c r="G357" s="4">
        <f t="shared" si="28"/>
        <v>11</v>
      </c>
      <c r="H357" s="3" t="str">
        <f t="shared" si="29"/>
        <v>Q-4</v>
      </c>
      <c r="I357" t="s">
        <v>503</v>
      </c>
      <c r="J357" t="s">
        <v>39</v>
      </c>
      <c r="K357">
        <v>172</v>
      </c>
      <c r="L357" s="5">
        <v>6500</v>
      </c>
      <c r="M357">
        <v>3</v>
      </c>
      <c r="N357" t="s">
        <v>40</v>
      </c>
      <c r="O357" t="s">
        <v>506</v>
      </c>
      <c r="P357" t="s">
        <v>25</v>
      </c>
      <c r="Q357" s="5">
        <f>Table1[[#This Row],[Quantity]]*Table1[[#This Row],[Unit_Price]]</f>
        <v>1118000</v>
      </c>
      <c r="R357" t="str">
        <f>IF(Table1[[#This Row],[Delivery_Days]]&lt;=3,"Fast",IF(Table1[[#This Row],[Delivery_Days]]&lt;=7,"Normal","Late"))</f>
        <v>Fast</v>
      </c>
    </row>
    <row r="358" spans="1:18" x14ac:dyDescent="0.35">
      <c r="A358" t="s">
        <v>370</v>
      </c>
      <c r="B358" t="str">
        <f t="shared" si="25"/>
        <v>APX1110</v>
      </c>
      <c r="C358" s="3">
        <v>45711</v>
      </c>
      <c r="D358" s="3">
        <f>IF(ISNUMBER(C358), C358, DATE(RIGHT(C358, 4), MATCH(LEFT(C358, 3), {"Jan","Feb","Mar","Apr","May","Jun","Jul","Aug","Sep","Oct","Nov","Dec"}, 0), MID(C358, 5, 2)))</f>
        <v>45711</v>
      </c>
      <c r="E358" s="3" t="str">
        <f t="shared" si="26"/>
        <v>Feb</v>
      </c>
      <c r="F358" s="3" t="str">
        <f t="shared" si="27"/>
        <v>2025</v>
      </c>
      <c r="G358" s="4">
        <f t="shared" si="28"/>
        <v>2</v>
      </c>
      <c r="H358" s="3" t="str">
        <f t="shared" si="29"/>
        <v>Q-1</v>
      </c>
      <c r="I358" t="s">
        <v>17</v>
      </c>
      <c r="J358" t="s">
        <v>32</v>
      </c>
      <c r="K358">
        <v>30</v>
      </c>
      <c r="L358" s="5">
        <v>850000</v>
      </c>
      <c r="M358">
        <v>3</v>
      </c>
      <c r="N358" t="s">
        <v>504</v>
      </c>
      <c r="O358" t="s">
        <v>506</v>
      </c>
      <c r="P358" t="s">
        <v>74</v>
      </c>
      <c r="Q358" s="5">
        <f>Table1[[#This Row],[Quantity]]*Table1[[#This Row],[Unit_Price]]</f>
        <v>25500000</v>
      </c>
      <c r="R358" t="str">
        <f>IF(Table1[[#This Row],[Delivery_Days]]&lt;=3,"Fast",IF(Table1[[#This Row],[Delivery_Days]]&lt;=7,"Normal","Late"))</f>
        <v>Fast</v>
      </c>
    </row>
    <row r="359" spans="1:18" x14ac:dyDescent="0.35">
      <c r="A359" t="s">
        <v>396</v>
      </c>
      <c r="B359" t="str">
        <f t="shared" si="25"/>
        <v>APX1149</v>
      </c>
      <c r="C359" s="3">
        <v>45968</v>
      </c>
      <c r="D359" s="3">
        <f>IF(ISNUMBER(C359), C359, DATE(RIGHT(C359, 4), MATCH(LEFT(C359, 3), {"Jan","Feb","Mar","Apr","May","Jun","Jul","Aug","Sep","Oct","Nov","Dec"}, 0), MID(C359, 5, 2)))</f>
        <v>45968</v>
      </c>
      <c r="E359" s="3" t="str">
        <f t="shared" si="26"/>
        <v>Nov</v>
      </c>
      <c r="F359" s="3" t="str">
        <f t="shared" si="27"/>
        <v>2025</v>
      </c>
      <c r="G359" s="4">
        <f t="shared" si="28"/>
        <v>11</v>
      </c>
      <c r="H359" s="3" t="str">
        <f t="shared" si="29"/>
        <v>Q-4</v>
      </c>
      <c r="I359" t="s">
        <v>510</v>
      </c>
      <c r="J359" t="s">
        <v>32</v>
      </c>
      <c r="K359">
        <v>78</v>
      </c>
      <c r="L359" s="5">
        <v>850000</v>
      </c>
      <c r="M359">
        <v>3</v>
      </c>
      <c r="N359" t="s">
        <v>505</v>
      </c>
      <c r="O359" t="s">
        <v>46</v>
      </c>
      <c r="P359" t="s">
        <v>25</v>
      </c>
      <c r="Q359" s="5">
        <f>Table1[[#This Row],[Quantity]]*Table1[[#This Row],[Unit_Price]]</f>
        <v>66300000</v>
      </c>
      <c r="R359" t="str">
        <f>IF(Table1[[#This Row],[Delivery_Days]]&lt;=3,"Fast",IF(Table1[[#This Row],[Delivery_Days]]&lt;=7,"Normal","Late"))</f>
        <v>Fast</v>
      </c>
    </row>
    <row r="360" spans="1:18" x14ac:dyDescent="0.35">
      <c r="A360" t="s">
        <v>397</v>
      </c>
      <c r="B360" t="str">
        <f t="shared" si="25"/>
        <v>APX1182</v>
      </c>
      <c r="C360" s="3">
        <v>45700</v>
      </c>
      <c r="D360" s="3">
        <f>IF(ISNUMBER(C360), C360, DATE(RIGHT(C360, 4), MATCH(LEFT(C360, 3), {"Jan","Feb","Mar","Apr","May","Jun","Jul","Aug","Sep","Oct","Nov","Dec"}, 0), MID(C360, 5, 2)))</f>
        <v>45700</v>
      </c>
      <c r="E360" s="3" t="str">
        <f t="shared" si="26"/>
        <v>Feb</v>
      </c>
      <c r="F360" s="3" t="str">
        <f t="shared" si="27"/>
        <v>2025</v>
      </c>
      <c r="G360" s="4">
        <f t="shared" si="28"/>
        <v>2</v>
      </c>
      <c r="H360" s="3" t="str">
        <f t="shared" si="29"/>
        <v>Q-1</v>
      </c>
      <c r="I360" t="s">
        <v>76</v>
      </c>
      <c r="J360" t="s">
        <v>32</v>
      </c>
      <c r="K360">
        <v>2500</v>
      </c>
      <c r="L360" s="5">
        <v>4500</v>
      </c>
      <c r="M360">
        <v>2</v>
      </c>
      <c r="N360" t="s">
        <v>40</v>
      </c>
      <c r="O360" t="s">
        <v>506</v>
      </c>
      <c r="P360" t="s">
        <v>25</v>
      </c>
      <c r="Q360" s="5">
        <f>Table1[[#This Row],[Quantity]]*Table1[[#This Row],[Unit_Price]]</f>
        <v>11250000</v>
      </c>
      <c r="R360" t="str">
        <f>IF(Table1[[#This Row],[Delivery_Days]]&lt;=3,"Fast",IF(Table1[[#This Row],[Delivery_Days]]&lt;=7,"Normal","Late"))</f>
        <v>Fast</v>
      </c>
    </row>
    <row r="361" spans="1:18" x14ac:dyDescent="0.35">
      <c r="A361" t="s">
        <v>197</v>
      </c>
      <c r="B361" t="str">
        <f t="shared" si="25"/>
        <v>APX1000</v>
      </c>
      <c r="C361" s="3">
        <v>45764</v>
      </c>
      <c r="D361" s="3">
        <f>IF(ISNUMBER(C361), C361, DATE(RIGHT(C361, 4), MATCH(LEFT(C361, 3), {"Jan","Feb","Mar","Apr","May","Jun","Jul","Aug","Sep","Oct","Nov","Dec"}, 0), MID(C361, 5, 2)))</f>
        <v>45764</v>
      </c>
      <c r="E361" s="3" t="str">
        <f t="shared" si="26"/>
        <v>Apr</v>
      </c>
      <c r="F361" s="3" t="str">
        <f t="shared" si="27"/>
        <v>2025</v>
      </c>
      <c r="G361" s="4">
        <f t="shared" si="28"/>
        <v>4</v>
      </c>
      <c r="H361" s="3" t="str">
        <f t="shared" si="29"/>
        <v>Q-2</v>
      </c>
      <c r="I361" t="s">
        <v>76</v>
      </c>
      <c r="J361" t="s">
        <v>32</v>
      </c>
      <c r="K361">
        <v>30</v>
      </c>
      <c r="L361" s="5">
        <v>800</v>
      </c>
      <c r="M361">
        <v>3</v>
      </c>
      <c r="N361" t="s">
        <v>40</v>
      </c>
      <c r="O361" t="s">
        <v>14</v>
      </c>
      <c r="P361" t="s">
        <v>42</v>
      </c>
      <c r="Q361" s="5">
        <f>Table1[[#This Row],[Quantity]]*Table1[[#This Row],[Unit_Price]]</f>
        <v>24000</v>
      </c>
      <c r="R361" t="str">
        <f>IF(Table1[[#This Row],[Delivery_Days]]&lt;=3,"Fast",IF(Table1[[#This Row],[Delivery_Days]]&lt;=7,"Normal","Late"))</f>
        <v>Fast</v>
      </c>
    </row>
    <row r="362" spans="1:18" x14ac:dyDescent="0.35">
      <c r="A362" t="s">
        <v>163</v>
      </c>
      <c r="B362" t="str">
        <f t="shared" si="25"/>
        <v>APX1044</v>
      </c>
      <c r="C362" s="3" t="s">
        <v>398</v>
      </c>
      <c r="D362" s="3">
        <f>IF(ISNUMBER(C362), C362, DATE(RIGHT(C362, 4), MATCH(LEFT(C362, 3), {"Jan","Feb","Mar","Apr","May","Jun","Jul","Aug","Sep","Oct","Nov","Dec"}, 0), MID(C362, 5, 2)))</f>
        <v>45726</v>
      </c>
      <c r="E362" s="3" t="str">
        <f t="shared" si="26"/>
        <v>Mar</v>
      </c>
      <c r="F362" s="3" t="str">
        <f t="shared" si="27"/>
        <v>2025</v>
      </c>
      <c r="G362" s="4">
        <f t="shared" si="28"/>
        <v>3</v>
      </c>
      <c r="H362" s="3" t="str">
        <f t="shared" si="29"/>
        <v>Q-1</v>
      </c>
      <c r="I362" t="s">
        <v>510</v>
      </c>
      <c r="J362" t="s">
        <v>32</v>
      </c>
      <c r="K362">
        <v>188</v>
      </c>
      <c r="L362" s="5">
        <v>6500</v>
      </c>
      <c r="M362">
        <v>10</v>
      </c>
      <c r="N362" t="s">
        <v>504</v>
      </c>
      <c r="O362" t="s">
        <v>506</v>
      </c>
      <c r="P362" t="s">
        <v>74</v>
      </c>
      <c r="Q362" s="5">
        <f>Table1[[#This Row],[Quantity]]*Table1[[#This Row],[Unit_Price]]</f>
        <v>1222000</v>
      </c>
      <c r="R362" t="str">
        <f>IF(Table1[[#This Row],[Delivery_Days]]&lt;=3,"Fast",IF(Table1[[#This Row],[Delivery_Days]]&lt;=7,"Normal","Late"))</f>
        <v>Late</v>
      </c>
    </row>
    <row r="363" spans="1:18" x14ac:dyDescent="0.35">
      <c r="A363" t="s">
        <v>399</v>
      </c>
      <c r="B363" t="str">
        <f t="shared" si="25"/>
        <v>APX1125</v>
      </c>
      <c r="C363" s="3">
        <v>45979</v>
      </c>
      <c r="D363" s="3">
        <f>IF(ISNUMBER(C363), C363, DATE(RIGHT(C363, 4), MATCH(LEFT(C363, 3), {"Jan","Feb","Mar","Apr","May","Jun","Jul","Aug","Sep","Oct","Nov","Dec"}, 0), MID(C363, 5, 2)))</f>
        <v>45979</v>
      </c>
      <c r="E363" s="3" t="str">
        <f t="shared" si="26"/>
        <v>Nov</v>
      </c>
      <c r="F363" s="3" t="str">
        <f t="shared" si="27"/>
        <v>2025</v>
      </c>
      <c r="G363" s="4">
        <f t="shared" si="28"/>
        <v>11</v>
      </c>
      <c r="H363" s="3" t="str">
        <f t="shared" si="29"/>
        <v>Q-4</v>
      </c>
      <c r="I363" t="s">
        <v>76</v>
      </c>
      <c r="J363" t="s">
        <v>39</v>
      </c>
      <c r="K363">
        <v>30</v>
      </c>
      <c r="L363" s="5">
        <v>850000</v>
      </c>
      <c r="M363">
        <v>9</v>
      </c>
      <c r="N363" t="s">
        <v>40</v>
      </c>
      <c r="O363" t="s">
        <v>506</v>
      </c>
      <c r="P363" t="s">
        <v>42</v>
      </c>
      <c r="Q363" s="5">
        <f>Table1[[#This Row],[Quantity]]*Table1[[#This Row],[Unit_Price]]</f>
        <v>25500000</v>
      </c>
      <c r="R363" t="str">
        <f>IF(Table1[[#This Row],[Delivery_Days]]&lt;=3,"Fast",IF(Table1[[#This Row],[Delivery_Days]]&lt;=7,"Normal","Late"))</f>
        <v>Late</v>
      </c>
    </row>
    <row r="364" spans="1:18" x14ac:dyDescent="0.35">
      <c r="A364" t="s">
        <v>212</v>
      </c>
      <c r="B364" t="str">
        <f t="shared" si="25"/>
        <v>APX1394</v>
      </c>
      <c r="C364" s="3" t="s">
        <v>400</v>
      </c>
      <c r="D364" s="3">
        <f>IF(ISNUMBER(C364), C364, DATE(RIGHT(C364, 4), MATCH(LEFT(C364, 3), {"Jan","Feb","Mar","Apr","May","Jun","Jul","Aug","Sep","Oct","Nov","Dec"}, 0), MID(C364, 5, 2)))</f>
        <v>45709</v>
      </c>
      <c r="E364" s="3" t="str">
        <f t="shared" si="26"/>
        <v>Feb</v>
      </c>
      <c r="F364" s="3" t="str">
        <f t="shared" si="27"/>
        <v>2025</v>
      </c>
      <c r="G364" s="4">
        <f t="shared" si="28"/>
        <v>2</v>
      </c>
      <c r="H364" s="3" t="str">
        <f t="shared" si="29"/>
        <v>Q-1</v>
      </c>
      <c r="I364" t="s">
        <v>17</v>
      </c>
      <c r="J364" t="s">
        <v>32</v>
      </c>
      <c r="K364">
        <v>30</v>
      </c>
      <c r="L364" s="5">
        <v>800</v>
      </c>
      <c r="M364">
        <v>95</v>
      </c>
      <c r="N364" t="s">
        <v>70</v>
      </c>
      <c r="O364" t="s">
        <v>506</v>
      </c>
      <c r="P364" t="s">
        <v>25</v>
      </c>
      <c r="Q364" s="5">
        <f>Table1[[#This Row],[Quantity]]*Table1[[#This Row],[Unit_Price]]</f>
        <v>24000</v>
      </c>
      <c r="R364" t="str">
        <f>IF(Table1[[#This Row],[Delivery_Days]]&lt;=3,"Fast",IF(Table1[[#This Row],[Delivery_Days]]&lt;=7,"Normal","Late"))</f>
        <v>Late</v>
      </c>
    </row>
    <row r="365" spans="1:18" x14ac:dyDescent="0.35">
      <c r="A365" t="s">
        <v>300</v>
      </c>
      <c r="B365" t="str">
        <f t="shared" si="25"/>
        <v>APX1004</v>
      </c>
      <c r="C365" s="3">
        <v>46019</v>
      </c>
      <c r="D365" s="3">
        <f>IF(ISNUMBER(C365), C365, DATE(RIGHT(C365, 4), MATCH(LEFT(C365, 3), {"Jan","Feb","Mar","Apr","May","Jun","Jul","Aug","Sep","Oct","Nov","Dec"}, 0), MID(C365, 5, 2)))</f>
        <v>46019</v>
      </c>
      <c r="E365" s="3" t="str">
        <f t="shared" si="26"/>
        <v>Dec</v>
      </c>
      <c r="F365" s="3" t="str">
        <f t="shared" si="27"/>
        <v>2025</v>
      </c>
      <c r="G365" s="4">
        <f t="shared" si="28"/>
        <v>12</v>
      </c>
      <c r="H365" s="3" t="str">
        <f t="shared" si="29"/>
        <v>Q-4</v>
      </c>
      <c r="I365" t="s">
        <v>502</v>
      </c>
      <c r="J365" t="s">
        <v>73</v>
      </c>
      <c r="K365">
        <v>12</v>
      </c>
      <c r="L365" s="5">
        <v>6500</v>
      </c>
      <c r="M365">
        <v>95</v>
      </c>
      <c r="N365" t="s">
        <v>505</v>
      </c>
      <c r="O365" t="s">
        <v>506</v>
      </c>
      <c r="P365" t="s">
        <v>15</v>
      </c>
      <c r="Q365" s="5">
        <f>Table1[[#This Row],[Quantity]]*Table1[[#This Row],[Unit_Price]]</f>
        <v>78000</v>
      </c>
      <c r="R365" t="str">
        <f>IF(Table1[[#This Row],[Delivery_Days]]&lt;=3,"Fast",IF(Table1[[#This Row],[Delivery_Days]]&lt;=7,"Normal","Late"))</f>
        <v>Late</v>
      </c>
    </row>
    <row r="366" spans="1:18" x14ac:dyDescent="0.35">
      <c r="A366" t="s">
        <v>401</v>
      </c>
      <c r="B366" t="str">
        <f t="shared" si="25"/>
        <v>APX1317</v>
      </c>
      <c r="C366" s="3">
        <v>45988</v>
      </c>
      <c r="D366" s="3">
        <f>IF(ISNUMBER(C366), C366, DATE(RIGHT(C366, 4), MATCH(LEFT(C366, 3), {"Jan","Feb","Mar","Apr","May","Jun","Jul","Aug","Sep","Oct","Nov","Dec"}, 0), MID(C366, 5, 2)))</f>
        <v>45988</v>
      </c>
      <c r="E366" s="3" t="str">
        <f t="shared" si="26"/>
        <v>Nov</v>
      </c>
      <c r="F366" s="3" t="str">
        <f t="shared" si="27"/>
        <v>2025</v>
      </c>
      <c r="G366" s="4">
        <f t="shared" si="28"/>
        <v>11</v>
      </c>
      <c r="H366" s="3" t="str">
        <f t="shared" si="29"/>
        <v>Q-4</v>
      </c>
      <c r="I366" t="s">
        <v>76</v>
      </c>
      <c r="J366" t="s">
        <v>28</v>
      </c>
      <c r="K366">
        <v>12</v>
      </c>
      <c r="L366" s="5">
        <v>800</v>
      </c>
      <c r="M366">
        <v>3</v>
      </c>
      <c r="N366" t="s">
        <v>70</v>
      </c>
      <c r="O366" t="s">
        <v>506</v>
      </c>
      <c r="P366" t="s">
        <v>25</v>
      </c>
      <c r="Q366" s="5">
        <f>Table1[[#This Row],[Quantity]]*Table1[[#This Row],[Unit_Price]]</f>
        <v>9600</v>
      </c>
      <c r="R366" t="str">
        <f>IF(Table1[[#This Row],[Delivery_Days]]&lt;=3,"Fast",IF(Table1[[#This Row],[Delivery_Days]]&lt;=7,"Normal","Late"))</f>
        <v>Fast</v>
      </c>
    </row>
    <row r="367" spans="1:18" x14ac:dyDescent="0.35">
      <c r="A367" t="s">
        <v>402</v>
      </c>
      <c r="B367" t="str">
        <f t="shared" si="25"/>
        <v>APX1209</v>
      </c>
      <c r="C367" s="3">
        <v>45836</v>
      </c>
      <c r="D367" s="3">
        <f>IF(ISNUMBER(C367), C367, DATE(RIGHT(C367, 4), MATCH(LEFT(C367, 3), {"Jan","Feb","Mar","Apr","May","Jun","Jul","Aug","Sep","Oct","Nov","Dec"}, 0), MID(C367, 5, 2)))</f>
        <v>45836</v>
      </c>
      <c r="E367" s="3" t="str">
        <f t="shared" si="26"/>
        <v>Jun</v>
      </c>
      <c r="F367" s="3" t="str">
        <f t="shared" si="27"/>
        <v>2025</v>
      </c>
      <c r="G367" s="4">
        <f t="shared" si="28"/>
        <v>6</v>
      </c>
      <c r="H367" s="3" t="str">
        <f t="shared" si="29"/>
        <v>Q-2</v>
      </c>
      <c r="I367" t="s">
        <v>17</v>
      </c>
      <c r="J367" t="s">
        <v>64</v>
      </c>
      <c r="K367">
        <v>133</v>
      </c>
      <c r="L367" s="5">
        <v>850000</v>
      </c>
      <c r="M367">
        <v>3</v>
      </c>
      <c r="N367" t="s">
        <v>504</v>
      </c>
      <c r="O367" t="s">
        <v>506</v>
      </c>
      <c r="P367" t="s">
        <v>25</v>
      </c>
      <c r="Q367" s="5">
        <f>Table1[[#This Row],[Quantity]]*Table1[[#This Row],[Unit_Price]]</f>
        <v>113050000</v>
      </c>
      <c r="R367" t="str">
        <f>IF(Table1[[#This Row],[Delivery_Days]]&lt;=3,"Fast",IF(Table1[[#This Row],[Delivery_Days]]&lt;=7,"Normal","Late"))</f>
        <v>Fast</v>
      </c>
    </row>
    <row r="368" spans="1:18" x14ac:dyDescent="0.35">
      <c r="A368" t="s">
        <v>311</v>
      </c>
      <c r="B368" t="str">
        <f t="shared" si="25"/>
        <v>APX1107</v>
      </c>
      <c r="C368" s="3">
        <v>45992</v>
      </c>
      <c r="D368" s="3">
        <f>IF(ISNUMBER(C368), C368, DATE(RIGHT(C368, 4), MATCH(LEFT(C368, 3), {"Jan","Feb","Mar","Apr","May","Jun","Jul","Aug","Sep","Oct","Nov","Dec"}, 0), MID(C368, 5, 2)))</f>
        <v>45992</v>
      </c>
      <c r="E368" s="3" t="str">
        <f t="shared" si="26"/>
        <v>Dec</v>
      </c>
      <c r="F368" s="3" t="str">
        <f t="shared" si="27"/>
        <v>2025</v>
      </c>
      <c r="G368" s="4">
        <f t="shared" si="28"/>
        <v>12</v>
      </c>
      <c r="H368" s="3" t="str">
        <f t="shared" si="29"/>
        <v>Q-4</v>
      </c>
      <c r="I368" t="s">
        <v>503</v>
      </c>
      <c r="J368" t="s">
        <v>32</v>
      </c>
      <c r="K368">
        <v>30</v>
      </c>
      <c r="L368" s="5">
        <v>4500</v>
      </c>
      <c r="M368">
        <v>95</v>
      </c>
      <c r="N368" t="s">
        <v>504</v>
      </c>
      <c r="O368" t="s">
        <v>14</v>
      </c>
      <c r="P368" t="s">
        <v>74</v>
      </c>
      <c r="Q368" s="5">
        <f>Table1[[#This Row],[Quantity]]*Table1[[#This Row],[Unit_Price]]</f>
        <v>135000</v>
      </c>
      <c r="R368" t="str">
        <f>IF(Table1[[#This Row],[Delivery_Days]]&lt;=3,"Fast",IF(Table1[[#This Row],[Delivery_Days]]&lt;=7,"Normal","Late"))</f>
        <v>Late</v>
      </c>
    </row>
    <row r="369" spans="1:18" x14ac:dyDescent="0.35">
      <c r="A369" t="s">
        <v>404</v>
      </c>
      <c r="B369" t="str">
        <f t="shared" si="25"/>
        <v>APX1078</v>
      </c>
      <c r="C369" s="3">
        <v>45841</v>
      </c>
      <c r="D369" s="3">
        <f>IF(ISNUMBER(C369), C369, DATE(RIGHT(C369, 4), MATCH(LEFT(C369, 3), {"Jan","Feb","Mar","Apr","May","Jun","Jul","Aug","Sep","Oct","Nov","Dec"}, 0), MID(C369, 5, 2)))</f>
        <v>45841</v>
      </c>
      <c r="E369" s="3" t="str">
        <f t="shared" si="26"/>
        <v>Jul</v>
      </c>
      <c r="F369" s="3" t="str">
        <f t="shared" si="27"/>
        <v>2025</v>
      </c>
      <c r="G369" s="4">
        <f t="shared" si="28"/>
        <v>7</v>
      </c>
      <c r="H369" s="3" t="str">
        <f t="shared" si="29"/>
        <v>Q-3</v>
      </c>
      <c r="I369" t="s">
        <v>502</v>
      </c>
      <c r="J369" t="s">
        <v>64</v>
      </c>
      <c r="K369">
        <v>175</v>
      </c>
      <c r="L369" s="5">
        <v>850000</v>
      </c>
      <c r="M369">
        <v>5</v>
      </c>
      <c r="N369" t="s">
        <v>40</v>
      </c>
      <c r="O369" t="s">
        <v>14</v>
      </c>
      <c r="P369" t="s">
        <v>25</v>
      </c>
      <c r="Q369" s="5">
        <f>Table1[[#This Row],[Quantity]]*Table1[[#This Row],[Unit_Price]]</f>
        <v>148750000</v>
      </c>
      <c r="R369" t="str">
        <f>IF(Table1[[#This Row],[Delivery_Days]]&lt;=3,"Fast",IF(Table1[[#This Row],[Delivery_Days]]&lt;=7,"Normal","Late"))</f>
        <v>Normal</v>
      </c>
    </row>
    <row r="370" spans="1:18" x14ac:dyDescent="0.35">
      <c r="A370" t="s">
        <v>276</v>
      </c>
      <c r="B370" t="str">
        <f t="shared" si="25"/>
        <v>APX1138</v>
      </c>
      <c r="C370" s="3" t="s">
        <v>405</v>
      </c>
      <c r="D370" s="3">
        <f>IF(ISNUMBER(C370), C370, DATE(RIGHT(C370, 4), MATCH(LEFT(C370, 3), {"Jan","Feb","Mar","Apr","May","Jun","Jul","Aug","Sep","Oct","Nov","Dec"}, 0), MID(C370, 5, 2)))</f>
        <v>45970</v>
      </c>
      <c r="E370" s="3" t="str">
        <f t="shared" si="26"/>
        <v>Nov</v>
      </c>
      <c r="F370" s="3" t="str">
        <f t="shared" si="27"/>
        <v>2025</v>
      </c>
      <c r="G370" s="4">
        <f t="shared" si="28"/>
        <v>11</v>
      </c>
      <c r="H370" s="3" t="str">
        <f t="shared" si="29"/>
        <v>Q-4</v>
      </c>
      <c r="I370" t="s">
        <v>502</v>
      </c>
      <c r="J370" t="s">
        <v>32</v>
      </c>
      <c r="K370">
        <v>197</v>
      </c>
      <c r="L370" s="5">
        <v>850000</v>
      </c>
      <c r="M370">
        <v>95</v>
      </c>
      <c r="N370" t="s">
        <v>505</v>
      </c>
      <c r="O370" t="s">
        <v>506</v>
      </c>
      <c r="P370" t="s">
        <v>15</v>
      </c>
      <c r="Q370" s="5">
        <f>Table1[[#This Row],[Quantity]]*Table1[[#This Row],[Unit_Price]]</f>
        <v>167450000</v>
      </c>
      <c r="R370" t="str">
        <f>IF(Table1[[#This Row],[Delivery_Days]]&lt;=3,"Fast",IF(Table1[[#This Row],[Delivery_Days]]&lt;=7,"Normal","Late"))</f>
        <v>Late</v>
      </c>
    </row>
    <row r="371" spans="1:18" x14ac:dyDescent="0.35">
      <c r="A371" t="s">
        <v>406</v>
      </c>
      <c r="B371" t="str">
        <f t="shared" si="25"/>
        <v>APX1096</v>
      </c>
      <c r="C371" s="3">
        <v>45937</v>
      </c>
      <c r="D371" s="3">
        <f>IF(ISNUMBER(C371), C371, DATE(RIGHT(C371, 4), MATCH(LEFT(C371, 3), {"Jan","Feb","Mar","Apr","May","Jun","Jul","Aug","Sep","Oct","Nov","Dec"}, 0), MID(C371, 5, 2)))</f>
        <v>45937</v>
      </c>
      <c r="E371" s="3" t="str">
        <f t="shared" si="26"/>
        <v>Oct</v>
      </c>
      <c r="F371" s="3" t="str">
        <f t="shared" si="27"/>
        <v>2025</v>
      </c>
      <c r="G371" s="4">
        <f t="shared" si="28"/>
        <v>10</v>
      </c>
      <c r="H371" s="3" t="str">
        <f t="shared" si="29"/>
        <v>Q-4</v>
      </c>
      <c r="I371" t="s">
        <v>510</v>
      </c>
      <c r="J371" t="s">
        <v>28</v>
      </c>
      <c r="K371">
        <v>12</v>
      </c>
      <c r="L371" s="5">
        <v>800</v>
      </c>
      <c r="M371">
        <v>95</v>
      </c>
      <c r="N371" t="s">
        <v>70</v>
      </c>
      <c r="O371" t="s">
        <v>46</v>
      </c>
      <c r="P371" t="s">
        <v>74</v>
      </c>
      <c r="Q371" s="5">
        <f>Table1[[#This Row],[Quantity]]*Table1[[#This Row],[Unit_Price]]</f>
        <v>9600</v>
      </c>
      <c r="R371" t="str">
        <f>IF(Table1[[#This Row],[Delivery_Days]]&lt;=3,"Fast",IF(Table1[[#This Row],[Delivery_Days]]&lt;=7,"Normal","Late"))</f>
        <v>Late</v>
      </c>
    </row>
    <row r="372" spans="1:18" x14ac:dyDescent="0.35">
      <c r="A372" t="s">
        <v>16</v>
      </c>
      <c r="B372" t="str">
        <f t="shared" si="25"/>
        <v>APX1357</v>
      </c>
      <c r="C372" s="3">
        <v>45724</v>
      </c>
      <c r="D372" s="3">
        <f>IF(ISNUMBER(C372), C372, DATE(RIGHT(C372, 4), MATCH(LEFT(C372, 3), {"Jan","Feb","Mar","Apr","May","Jun","Jul","Aug","Sep","Oct","Nov","Dec"}, 0), MID(C372, 5, 2)))</f>
        <v>45724</v>
      </c>
      <c r="E372" s="3" t="str">
        <f t="shared" si="26"/>
        <v>Mar</v>
      </c>
      <c r="F372" s="3" t="str">
        <f t="shared" si="27"/>
        <v>2025</v>
      </c>
      <c r="G372" s="4">
        <f t="shared" si="28"/>
        <v>3</v>
      </c>
      <c r="H372" s="3" t="str">
        <f t="shared" si="29"/>
        <v>Q-1</v>
      </c>
      <c r="I372" t="s">
        <v>76</v>
      </c>
      <c r="J372" t="s">
        <v>73</v>
      </c>
      <c r="K372">
        <v>2500</v>
      </c>
      <c r="L372" s="5">
        <v>6500</v>
      </c>
      <c r="M372">
        <v>9</v>
      </c>
      <c r="N372" t="s">
        <v>505</v>
      </c>
      <c r="O372" t="s">
        <v>506</v>
      </c>
      <c r="P372" t="s">
        <v>25</v>
      </c>
      <c r="Q372" s="5">
        <f>Table1[[#This Row],[Quantity]]*Table1[[#This Row],[Unit_Price]]</f>
        <v>16250000</v>
      </c>
      <c r="R372" t="str">
        <f>IF(Table1[[#This Row],[Delivery_Days]]&lt;=3,"Fast",IF(Table1[[#This Row],[Delivery_Days]]&lt;=7,"Normal","Late"))</f>
        <v>Late</v>
      </c>
    </row>
    <row r="373" spans="1:18" x14ac:dyDescent="0.35">
      <c r="A373" t="s">
        <v>145</v>
      </c>
      <c r="B373" t="str">
        <f t="shared" si="25"/>
        <v>APX1311</v>
      </c>
      <c r="C373" s="3" t="s">
        <v>407</v>
      </c>
      <c r="D373" s="3">
        <f>IF(ISNUMBER(C373), C373, DATE(RIGHT(C373, 4), MATCH(LEFT(C373, 3), {"Jan","Feb","Mar","Apr","May","Jun","Jul","Aug","Sep","Oct","Nov","Dec"}, 0), MID(C373, 5, 2)))</f>
        <v>45781</v>
      </c>
      <c r="E373" s="3" t="str">
        <f t="shared" si="26"/>
        <v>May</v>
      </c>
      <c r="F373" s="3" t="str">
        <f t="shared" si="27"/>
        <v>2025</v>
      </c>
      <c r="G373" s="4">
        <f t="shared" si="28"/>
        <v>5</v>
      </c>
      <c r="H373" s="3" t="str">
        <f t="shared" si="29"/>
        <v>Q-2</v>
      </c>
      <c r="I373" t="s">
        <v>503</v>
      </c>
      <c r="J373" t="s">
        <v>32</v>
      </c>
      <c r="K373">
        <v>12</v>
      </c>
      <c r="L373" s="5">
        <v>4500</v>
      </c>
      <c r="M373">
        <v>95</v>
      </c>
      <c r="N373" t="s">
        <v>560</v>
      </c>
      <c r="O373" t="s">
        <v>46</v>
      </c>
      <c r="P373" t="s">
        <v>25</v>
      </c>
      <c r="Q373" s="5">
        <f>Table1[[#This Row],[Quantity]]*Table1[[#This Row],[Unit_Price]]</f>
        <v>54000</v>
      </c>
      <c r="R373" t="str">
        <f>IF(Table1[[#This Row],[Delivery_Days]]&lt;=3,"Fast",IF(Table1[[#This Row],[Delivery_Days]]&lt;=7,"Normal","Late"))</f>
        <v>Late</v>
      </c>
    </row>
    <row r="374" spans="1:18" x14ac:dyDescent="0.35">
      <c r="A374" t="s">
        <v>408</v>
      </c>
      <c r="B374" t="str">
        <f t="shared" si="25"/>
        <v>APX1397</v>
      </c>
      <c r="C374" s="3">
        <v>45757</v>
      </c>
      <c r="D374" s="3">
        <f>IF(ISNUMBER(C374), C374, DATE(RIGHT(C374, 4), MATCH(LEFT(C374, 3), {"Jan","Feb","Mar","Apr","May","Jun","Jul","Aug","Sep","Oct","Nov","Dec"}, 0), MID(C374, 5, 2)))</f>
        <v>45757</v>
      </c>
      <c r="E374" s="3" t="str">
        <f t="shared" si="26"/>
        <v>Apr</v>
      </c>
      <c r="F374" s="3" t="str">
        <f t="shared" si="27"/>
        <v>2025</v>
      </c>
      <c r="G374" s="4">
        <f t="shared" si="28"/>
        <v>4</v>
      </c>
      <c r="H374" s="3" t="str">
        <f t="shared" si="29"/>
        <v>Q-2</v>
      </c>
      <c r="I374" t="s">
        <v>503</v>
      </c>
      <c r="J374" t="s">
        <v>73</v>
      </c>
      <c r="K374">
        <v>2500</v>
      </c>
      <c r="L374" s="5">
        <v>3478</v>
      </c>
      <c r="M374">
        <v>3</v>
      </c>
      <c r="N374" t="s">
        <v>40</v>
      </c>
      <c r="O374" t="s">
        <v>506</v>
      </c>
      <c r="P374" t="s">
        <v>42</v>
      </c>
      <c r="Q374" s="5">
        <f>Table1[[#This Row],[Quantity]]*Table1[[#This Row],[Unit_Price]]</f>
        <v>8695000</v>
      </c>
      <c r="R374" t="str">
        <f>IF(Table1[[#This Row],[Delivery_Days]]&lt;=3,"Fast",IF(Table1[[#This Row],[Delivery_Days]]&lt;=7,"Normal","Late"))</f>
        <v>Fast</v>
      </c>
    </row>
    <row r="375" spans="1:18" x14ac:dyDescent="0.35">
      <c r="A375" t="s">
        <v>278</v>
      </c>
      <c r="B375" t="str">
        <f t="shared" si="25"/>
        <v>APX1079</v>
      </c>
      <c r="C375" s="3" t="s">
        <v>409</v>
      </c>
      <c r="D375" s="3">
        <f>IF(ISNUMBER(C375), C375, DATE(RIGHT(C375, 4), MATCH(LEFT(C375, 3), {"Jan","Feb","Mar","Apr","May","Jun","Jul","Aug","Sep","Oct","Nov","Dec"}, 0), MID(C375, 5, 2)))</f>
        <v>45950</v>
      </c>
      <c r="E375" s="3" t="str">
        <f t="shared" si="26"/>
        <v>Oct</v>
      </c>
      <c r="F375" s="3" t="str">
        <f t="shared" si="27"/>
        <v>2025</v>
      </c>
      <c r="G375" s="4">
        <f t="shared" si="28"/>
        <v>10</v>
      </c>
      <c r="H375" s="3" t="str">
        <f t="shared" si="29"/>
        <v>Q-4</v>
      </c>
      <c r="I375" t="s">
        <v>510</v>
      </c>
      <c r="J375" t="s">
        <v>32</v>
      </c>
      <c r="K375">
        <v>12</v>
      </c>
      <c r="L375" s="5">
        <v>800</v>
      </c>
      <c r="M375">
        <v>95</v>
      </c>
      <c r="N375" t="s">
        <v>40</v>
      </c>
      <c r="O375" t="s">
        <v>506</v>
      </c>
      <c r="P375" t="s">
        <v>42</v>
      </c>
      <c r="Q375" s="5">
        <f>Table1[[#This Row],[Quantity]]*Table1[[#This Row],[Unit_Price]]</f>
        <v>9600</v>
      </c>
      <c r="R375" t="str">
        <f>IF(Table1[[#This Row],[Delivery_Days]]&lt;=3,"Fast",IF(Table1[[#This Row],[Delivery_Days]]&lt;=7,"Normal","Late"))</f>
        <v>Late</v>
      </c>
    </row>
    <row r="376" spans="1:18" x14ac:dyDescent="0.35">
      <c r="A376" t="s">
        <v>410</v>
      </c>
      <c r="B376" t="str">
        <f t="shared" si="25"/>
        <v>APX1328</v>
      </c>
      <c r="C376" s="3">
        <v>45783</v>
      </c>
      <c r="D376" s="3">
        <f>IF(ISNUMBER(C376), C376, DATE(RIGHT(C376, 4), MATCH(LEFT(C376, 3), {"Jan","Feb","Mar","Apr","May","Jun","Jul","Aug","Sep","Oct","Nov","Dec"}, 0), MID(C376, 5, 2)))</f>
        <v>45783</v>
      </c>
      <c r="E376" s="3" t="str">
        <f t="shared" si="26"/>
        <v>May</v>
      </c>
      <c r="F376" s="3" t="str">
        <f t="shared" si="27"/>
        <v>2025</v>
      </c>
      <c r="G376" s="4">
        <f t="shared" si="28"/>
        <v>5</v>
      </c>
      <c r="H376" s="3" t="str">
        <f t="shared" si="29"/>
        <v>Q-2</v>
      </c>
      <c r="I376" t="s">
        <v>76</v>
      </c>
      <c r="J376" t="s">
        <v>89</v>
      </c>
      <c r="K376">
        <v>2500</v>
      </c>
      <c r="L376" s="5">
        <v>6500</v>
      </c>
      <c r="M376">
        <v>3</v>
      </c>
      <c r="N376" t="s">
        <v>40</v>
      </c>
      <c r="O376" t="s">
        <v>506</v>
      </c>
      <c r="P376" t="s">
        <v>25</v>
      </c>
      <c r="Q376" s="5">
        <f>Table1[[#This Row],[Quantity]]*Table1[[#This Row],[Unit_Price]]</f>
        <v>16250000</v>
      </c>
      <c r="R376" t="str">
        <f>IF(Table1[[#This Row],[Delivery_Days]]&lt;=3,"Fast",IF(Table1[[#This Row],[Delivery_Days]]&lt;=7,"Normal","Late"))</f>
        <v>Fast</v>
      </c>
    </row>
    <row r="377" spans="1:18" x14ac:dyDescent="0.35">
      <c r="A377" t="s">
        <v>47</v>
      </c>
      <c r="B377" t="str">
        <f t="shared" si="25"/>
        <v>APX1336</v>
      </c>
      <c r="C377" s="3">
        <v>45937</v>
      </c>
      <c r="D377" s="3">
        <f>IF(ISNUMBER(C377), C377, DATE(RIGHT(C377, 4), MATCH(LEFT(C377, 3), {"Jan","Feb","Mar","Apr","May","Jun","Jul","Aug","Sep","Oct","Nov","Dec"}, 0), MID(C377, 5, 2)))</f>
        <v>45937</v>
      </c>
      <c r="E377" s="3" t="str">
        <f t="shared" si="26"/>
        <v>Oct</v>
      </c>
      <c r="F377" s="3" t="str">
        <f t="shared" si="27"/>
        <v>2025</v>
      </c>
      <c r="G377" s="4">
        <f t="shared" si="28"/>
        <v>10</v>
      </c>
      <c r="H377" s="3" t="str">
        <f t="shared" si="29"/>
        <v>Q-4</v>
      </c>
      <c r="I377" t="s">
        <v>17</v>
      </c>
      <c r="J377" t="s">
        <v>64</v>
      </c>
      <c r="K377">
        <v>30</v>
      </c>
      <c r="L377" s="5">
        <v>850000</v>
      </c>
      <c r="M377">
        <v>9</v>
      </c>
      <c r="N377" t="s">
        <v>560</v>
      </c>
      <c r="O377" t="s">
        <v>506</v>
      </c>
      <c r="P377" t="s">
        <v>25</v>
      </c>
      <c r="Q377" s="5">
        <f>Table1[[#This Row],[Quantity]]*Table1[[#This Row],[Unit_Price]]</f>
        <v>25500000</v>
      </c>
      <c r="R377" t="str">
        <f>IF(Table1[[#This Row],[Delivery_Days]]&lt;=3,"Fast",IF(Table1[[#This Row],[Delivery_Days]]&lt;=7,"Normal","Late"))</f>
        <v>Late</v>
      </c>
    </row>
    <row r="378" spans="1:18" x14ac:dyDescent="0.35">
      <c r="A378" t="s">
        <v>209</v>
      </c>
      <c r="B378" t="str">
        <f t="shared" si="25"/>
        <v>APX1006</v>
      </c>
      <c r="C378" s="3">
        <v>45700</v>
      </c>
      <c r="D378" s="3">
        <f>IF(ISNUMBER(C378), C378, DATE(RIGHT(C378, 4), MATCH(LEFT(C378, 3), {"Jan","Feb","Mar","Apr","May","Jun","Jul","Aug","Sep","Oct","Nov","Dec"}, 0), MID(C378, 5, 2)))</f>
        <v>45700</v>
      </c>
      <c r="E378" s="3" t="str">
        <f t="shared" si="26"/>
        <v>Feb</v>
      </c>
      <c r="F378" s="3" t="str">
        <f t="shared" si="27"/>
        <v>2025</v>
      </c>
      <c r="G378" s="4">
        <f t="shared" si="28"/>
        <v>2</v>
      </c>
      <c r="H378" s="3" t="str">
        <f t="shared" si="29"/>
        <v>Q-1</v>
      </c>
      <c r="I378" t="s">
        <v>76</v>
      </c>
      <c r="J378" t="s">
        <v>64</v>
      </c>
      <c r="K378">
        <v>12</v>
      </c>
      <c r="L378" s="5">
        <v>850000</v>
      </c>
      <c r="M378">
        <v>95</v>
      </c>
      <c r="N378" t="s">
        <v>505</v>
      </c>
      <c r="O378" t="s">
        <v>506</v>
      </c>
      <c r="P378" t="s">
        <v>74</v>
      </c>
      <c r="Q378" s="5">
        <f>Table1[[#This Row],[Quantity]]*Table1[[#This Row],[Unit_Price]]</f>
        <v>10200000</v>
      </c>
      <c r="R378" t="str">
        <f>IF(Table1[[#This Row],[Delivery_Days]]&lt;=3,"Fast",IF(Table1[[#This Row],[Delivery_Days]]&lt;=7,"Normal","Late"))</f>
        <v>Late</v>
      </c>
    </row>
    <row r="379" spans="1:18" x14ac:dyDescent="0.35">
      <c r="A379" t="s">
        <v>411</v>
      </c>
      <c r="B379" t="str">
        <f t="shared" si="25"/>
        <v>APX1343</v>
      </c>
      <c r="C379" s="3">
        <v>45702</v>
      </c>
      <c r="D379" s="3">
        <f>IF(ISNUMBER(C379), C379, DATE(RIGHT(C379, 4), MATCH(LEFT(C379, 3), {"Jan","Feb","Mar","Apr","May","Jun","Jul","Aug","Sep","Oct","Nov","Dec"}, 0), MID(C379, 5, 2)))</f>
        <v>45702</v>
      </c>
      <c r="E379" s="3" t="str">
        <f t="shared" si="26"/>
        <v>Feb</v>
      </c>
      <c r="F379" s="3" t="str">
        <f t="shared" si="27"/>
        <v>2025</v>
      </c>
      <c r="G379" s="4">
        <f t="shared" si="28"/>
        <v>2</v>
      </c>
      <c r="H379" s="3" t="str">
        <f t="shared" si="29"/>
        <v>Q-1</v>
      </c>
      <c r="I379" t="s">
        <v>76</v>
      </c>
      <c r="J379" t="s">
        <v>64</v>
      </c>
      <c r="K379">
        <v>2500</v>
      </c>
      <c r="L379" s="5">
        <v>6500</v>
      </c>
      <c r="M379">
        <v>7</v>
      </c>
      <c r="N379" t="s">
        <v>504</v>
      </c>
      <c r="O379" t="s">
        <v>506</v>
      </c>
      <c r="P379" t="s">
        <v>74</v>
      </c>
      <c r="Q379" s="5">
        <f>Table1[[#This Row],[Quantity]]*Table1[[#This Row],[Unit_Price]]</f>
        <v>16250000</v>
      </c>
      <c r="R379" t="str">
        <f>IF(Table1[[#This Row],[Delivery_Days]]&lt;=3,"Fast",IF(Table1[[#This Row],[Delivery_Days]]&lt;=7,"Normal","Late"))</f>
        <v>Normal</v>
      </c>
    </row>
    <row r="380" spans="1:18" x14ac:dyDescent="0.35">
      <c r="A380" t="s">
        <v>88</v>
      </c>
      <c r="B380" t="str">
        <f t="shared" si="25"/>
        <v>APX1224</v>
      </c>
      <c r="C380" s="3">
        <v>45920</v>
      </c>
      <c r="D380" s="3">
        <f>IF(ISNUMBER(C380), C380, DATE(RIGHT(C380, 4), MATCH(LEFT(C380, 3), {"Jan","Feb","Mar","Apr","May","Jun","Jul","Aug","Sep","Oct","Nov","Dec"}, 0), MID(C380, 5, 2)))</f>
        <v>45920</v>
      </c>
      <c r="E380" s="3" t="str">
        <f t="shared" si="26"/>
        <v>Sep</v>
      </c>
      <c r="F380" s="3" t="str">
        <f t="shared" si="27"/>
        <v>2025</v>
      </c>
      <c r="G380" s="4">
        <f t="shared" si="28"/>
        <v>9</v>
      </c>
      <c r="H380" s="3" t="str">
        <f t="shared" si="29"/>
        <v>Q-4</v>
      </c>
      <c r="I380" t="s">
        <v>76</v>
      </c>
      <c r="J380" t="s">
        <v>32</v>
      </c>
      <c r="K380">
        <v>2500</v>
      </c>
      <c r="L380" s="5">
        <v>850000</v>
      </c>
      <c r="M380">
        <v>3</v>
      </c>
      <c r="N380" t="s">
        <v>560</v>
      </c>
      <c r="O380" t="s">
        <v>506</v>
      </c>
      <c r="P380" t="s">
        <v>25</v>
      </c>
      <c r="Q380" s="5">
        <f>Table1[[#This Row],[Quantity]]*Table1[[#This Row],[Unit_Price]]</f>
        <v>2125000000</v>
      </c>
      <c r="R380" t="str">
        <f>IF(Table1[[#This Row],[Delivery_Days]]&lt;=3,"Fast",IF(Table1[[#This Row],[Delivery_Days]]&lt;=7,"Normal","Late"))</f>
        <v>Fast</v>
      </c>
    </row>
    <row r="381" spans="1:18" x14ac:dyDescent="0.35">
      <c r="A381" t="s">
        <v>412</v>
      </c>
      <c r="B381" t="str">
        <f t="shared" si="25"/>
        <v>APX1359</v>
      </c>
      <c r="C381" s="3">
        <v>45953</v>
      </c>
      <c r="D381" s="3">
        <f>IF(ISNUMBER(C381), C381, DATE(RIGHT(C381, 4), MATCH(LEFT(C381, 3), {"Jan","Feb","Mar","Apr","May","Jun","Jul","Aug","Sep","Oct","Nov","Dec"}, 0), MID(C381, 5, 2)))</f>
        <v>45953</v>
      </c>
      <c r="E381" s="3" t="str">
        <f t="shared" si="26"/>
        <v>Oct</v>
      </c>
      <c r="F381" s="3" t="str">
        <f t="shared" si="27"/>
        <v>2025</v>
      </c>
      <c r="G381" s="4">
        <f t="shared" si="28"/>
        <v>10</v>
      </c>
      <c r="H381" s="3" t="str">
        <f t="shared" si="29"/>
        <v>Q-4</v>
      </c>
      <c r="I381" t="s">
        <v>76</v>
      </c>
      <c r="J381" t="s">
        <v>64</v>
      </c>
      <c r="K381">
        <v>2500</v>
      </c>
      <c r="L381" s="5">
        <v>800</v>
      </c>
      <c r="M381">
        <v>2</v>
      </c>
      <c r="N381" t="s">
        <v>40</v>
      </c>
      <c r="O381" t="s">
        <v>506</v>
      </c>
      <c r="P381" t="s">
        <v>74</v>
      </c>
      <c r="Q381" s="5">
        <f>Table1[[#This Row],[Quantity]]*Table1[[#This Row],[Unit_Price]]</f>
        <v>2000000</v>
      </c>
      <c r="R381" t="str">
        <f>IF(Table1[[#This Row],[Delivery_Days]]&lt;=3,"Fast",IF(Table1[[#This Row],[Delivery_Days]]&lt;=7,"Normal","Late"))</f>
        <v>Fast</v>
      </c>
    </row>
    <row r="382" spans="1:18" x14ac:dyDescent="0.35">
      <c r="A382" t="s">
        <v>163</v>
      </c>
      <c r="B382" t="str">
        <f t="shared" si="25"/>
        <v>APX1044</v>
      </c>
      <c r="C382" s="3">
        <v>45814</v>
      </c>
      <c r="D382" s="3">
        <f>IF(ISNUMBER(C382), C382, DATE(RIGHT(C382, 4), MATCH(LEFT(C382, 3), {"Jan","Feb","Mar","Apr","May","Jun","Jul","Aug","Sep","Oct","Nov","Dec"}, 0), MID(C382, 5, 2)))</f>
        <v>45814</v>
      </c>
      <c r="E382" s="3" t="str">
        <f t="shared" si="26"/>
        <v>Jun</v>
      </c>
      <c r="F382" s="3" t="str">
        <f t="shared" si="27"/>
        <v>2025</v>
      </c>
      <c r="G382" s="4">
        <f t="shared" si="28"/>
        <v>6</v>
      </c>
      <c r="H382" s="3" t="str">
        <f t="shared" si="29"/>
        <v>Q-2</v>
      </c>
      <c r="I382" t="s">
        <v>76</v>
      </c>
      <c r="J382" t="s">
        <v>64</v>
      </c>
      <c r="K382">
        <v>168</v>
      </c>
      <c r="L382" s="5">
        <v>800</v>
      </c>
      <c r="M382">
        <v>95</v>
      </c>
      <c r="N382" t="s">
        <v>504</v>
      </c>
      <c r="O382" t="s">
        <v>506</v>
      </c>
      <c r="P382" t="s">
        <v>25</v>
      </c>
      <c r="Q382" s="5">
        <f>Table1[[#This Row],[Quantity]]*Table1[[#This Row],[Unit_Price]]</f>
        <v>134400</v>
      </c>
      <c r="R382" t="str">
        <f>IF(Table1[[#This Row],[Delivery_Days]]&lt;=3,"Fast",IF(Table1[[#This Row],[Delivery_Days]]&lt;=7,"Normal","Late"))</f>
        <v>Late</v>
      </c>
    </row>
    <row r="383" spans="1:18" x14ac:dyDescent="0.35">
      <c r="A383">
        <v>1376</v>
      </c>
      <c r="B383" t="str">
        <f t="shared" si="25"/>
        <v>APX1376</v>
      </c>
      <c r="C383" s="3">
        <v>45747</v>
      </c>
      <c r="D383" s="3">
        <f>IF(ISNUMBER(C383), C383, DATE(RIGHT(C383, 4), MATCH(LEFT(C383, 3), {"Jan","Feb","Mar","Apr","May","Jun","Jul","Aug","Sep","Oct","Nov","Dec"}, 0), MID(C383, 5, 2)))</f>
        <v>45747</v>
      </c>
      <c r="E383" s="3" t="str">
        <f t="shared" si="26"/>
        <v>Mar</v>
      </c>
      <c r="F383" s="3" t="str">
        <f t="shared" si="27"/>
        <v>2025</v>
      </c>
      <c r="G383" s="4">
        <f t="shared" si="28"/>
        <v>3</v>
      </c>
      <c r="H383" s="3" t="str">
        <f t="shared" si="29"/>
        <v>Q-1</v>
      </c>
      <c r="I383" t="s">
        <v>503</v>
      </c>
      <c r="J383" t="s">
        <v>28</v>
      </c>
      <c r="K383">
        <v>30</v>
      </c>
      <c r="L383" s="5">
        <v>2420</v>
      </c>
      <c r="M383">
        <v>95</v>
      </c>
      <c r="N383" t="s">
        <v>70</v>
      </c>
      <c r="O383" t="s">
        <v>46</v>
      </c>
      <c r="P383" t="s">
        <v>42</v>
      </c>
      <c r="Q383" s="5">
        <f>Table1[[#This Row],[Quantity]]*Table1[[#This Row],[Unit_Price]]</f>
        <v>72600</v>
      </c>
      <c r="R383" t="str">
        <f>IF(Table1[[#This Row],[Delivery_Days]]&lt;=3,"Fast",IF(Table1[[#This Row],[Delivery_Days]]&lt;=7,"Normal","Late"))</f>
        <v>Late</v>
      </c>
    </row>
    <row r="384" spans="1:18" x14ac:dyDescent="0.35">
      <c r="A384" t="s">
        <v>335</v>
      </c>
      <c r="B384" t="str">
        <f t="shared" si="25"/>
        <v>APX1075</v>
      </c>
      <c r="C384" s="3">
        <v>45692</v>
      </c>
      <c r="D384" s="3">
        <f>IF(ISNUMBER(C384), C384, DATE(RIGHT(C384, 4), MATCH(LEFT(C384, 3), {"Jan","Feb","Mar","Apr","May","Jun","Jul","Aug","Sep","Oct","Nov","Dec"}, 0), MID(C384, 5, 2)))</f>
        <v>45692</v>
      </c>
      <c r="E384" s="3" t="str">
        <f t="shared" si="26"/>
        <v>Feb</v>
      </c>
      <c r="F384" s="3" t="str">
        <f t="shared" si="27"/>
        <v>2025</v>
      </c>
      <c r="G384" s="4">
        <f t="shared" si="28"/>
        <v>2</v>
      </c>
      <c r="H384" s="3" t="str">
        <f t="shared" si="29"/>
        <v>Q-1</v>
      </c>
      <c r="I384" t="s">
        <v>510</v>
      </c>
      <c r="J384" t="s">
        <v>28</v>
      </c>
      <c r="K384">
        <v>2500</v>
      </c>
      <c r="L384" s="5">
        <v>850000</v>
      </c>
      <c r="M384">
        <v>95</v>
      </c>
      <c r="N384" t="s">
        <v>40</v>
      </c>
      <c r="O384" t="s">
        <v>14</v>
      </c>
      <c r="P384" t="s">
        <v>74</v>
      </c>
      <c r="Q384" s="5">
        <f>Table1[[#This Row],[Quantity]]*Table1[[#This Row],[Unit_Price]]</f>
        <v>2125000000</v>
      </c>
      <c r="R384" t="str">
        <f>IF(Table1[[#This Row],[Delivery_Days]]&lt;=3,"Fast",IF(Table1[[#This Row],[Delivery_Days]]&lt;=7,"Normal","Late"))</f>
        <v>Late</v>
      </c>
    </row>
    <row r="385" spans="1:18" x14ac:dyDescent="0.35">
      <c r="A385" t="s">
        <v>176</v>
      </c>
      <c r="B385" t="str">
        <f t="shared" si="25"/>
        <v>APX1150</v>
      </c>
      <c r="C385" s="3" t="s">
        <v>413</v>
      </c>
      <c r="D385" s="3">
        <f>IF(ISNUMBER(C385), C385, DATE(RIGHT(C385, 4), MATCH(LEFT(C385, 3), {"Jan","Feb","Mar","Apr","May","Jun","Jul","Aug","Sep","Oct","Nov","Dec"}, 0), MID(C385, 5, 2)))</f>
        <v>45661</v>
      </c>
      <c r="E385" s="3" t="str">
        <f t="shared" si="26"/>
        <v>Jan</v>
      </c>
      <c r="F385" s="3" t="str">
        <f t="shared" si="27"/>
        <v>2025</v>
      </c>
      <c r="G385" s="4">
        <f t="shared" si="28"/>
        <v>1</v>
      </c>
      <c r="H385" s="3" t="str">
        <f t="shared" si="29"/>
        <v>Q-1</v>
      </c>
      <c r="I385" t="s">
        <v>76</v>
      </c>
      <c r="J385" t="s">
        <v>89</v>
      </c>
      <c r="K385">
        <v>2500</v>
      </c>
      <c r="L385" s="5">
        <v>38781</v>
      </c>
      <c r="M385">
        <v>3</v>
      </c>
      <c r="N385" t="s">
        <v>70</v>
      </c>
      <c r="O385" t="s">
        <v>46</v>
      </c>
      <c r="P385" t="s">
        <v>25</v>
      </c>
      <c r="Q385" s="5">
        <f>Table1[[#This Row],[Quantity]]*Table1[[#This Row],[Unit_Price]]</f>
        <v>96952500</v>
      </c>
      <c r="R385" t="str">
        <f>IF(Table1[[#This Row],[Delivery_Days]]&lt;=3,"Fast",IF(Table1[[#This Row],[Delivery_Days]]&lt;=7,"Normal","Late"))</f>
        <v>Fast</v>
      </c>
    </row>
    <row r="386" spans="1:18" x14ac:dyDescent="0.35">
      <c r="A386" t="s">
        <v>81</v>
      </c>
      <c r="B386" t="str">
        <f t="shared" si="25"/>
        <v>APX1235</v>
      </c>
      <c r="C386" s="3">
        <v>45781</v>
      </c>
      <c r="D386" s="3">
        <f>IF(ISNUMBER(C386), C386, DATE(RIGHT(C386, 4), MATCH(LEFT(C386, 3), {"Jan","Feb","Mar","Apr","May","Jun","Jul","Aug","Sep","Oct","Nov","Dec"}, 0), MID(C386, 5, 2)))</f>
        <v>45781</v>
      </c>
      <c r="E386" s="3" t="str">
        <f t="shared" si="26"/>
        <v>May</v>
      </c>
      <c r="F386" s="3" t="str">
        <f t="shared" si="27"/>
        <v>2025</v>
      </c>
      <c r="G386" s="4">
        <f t="shared" si="28"/>
        <v>5</v>
      </c>
      <c r="H386" s="3" t="str">
        <f t="shared" si="29"/>
        <v>Q-2</v>
      </c>
      <c r="I386" t="s">
        <v>11</v>
      </c>
      <c r="J386" t="s">
        <v>32</v>
      </c>
      <c r="K386">
        <v>12</v>
      </c>
      <c r="L386" s="5">
        <v>4500</v>
      </c>
      <c r="M386">
        <v>11</v>
      </c>
      <c r="N386" t="s">
        <v>560</v>
      </c>
      <c r="O386" t="s">
        <v>46</v>
      </c>
      <c r="P386" t="s">
        <v>25</v>
      </c>
      <c r="Q386" s="5">
        <f>Table1[[#This Row],[Quantity]]*Table1[[#This Row],[Unit_Price]]</f>
        <v>54000</v>
      </c>
      <c r="R386" t="str">
        <f>IF(Table1[[#This Row],[Delivery_Days]]&lt;=3,"Fast",IF(Table1[[#This Row],[Delivery_Days]]&lt;=7,"Normal","Late"))</f>
        <v>Late</v>
      </c>
    </row>
    <row r="387" spans="1:18" x14ac:dyDescent="0.35">
      <c r="A387" t="s">
        <v>343</v>
      </c>
      <c r="B387" t="str">
        <f t="shared" ref="B387:B450" si="30">IF(LEFT(A387,3)="APX",A387,"APX" &amp; A387)</f>
        <v>APX1422</v>
      </c>
      <c r="C387" s="3">
        <v>45919</v>
      </c>
      <c r="D387" s="3">
        <f>IF(ISNUMBER(C387), C387, DATE(RIGHT(C387, 4), MATCH(LEFT(C387, 3), {"Jan","Feb","Mar","Apr","May","Jun","Jul","Aug","Sep","Oct","Nov","Dec"}, 0), MID(C387, 5, 2)))</f>
        <v>45919</v>
      </c>
      <c r="E387" s="3" t="str">
        <f t="shared" ref="E387:E450" si="31">TEXT(D387,"mmm")</f>
        <v>Sep</v>
      </c>
      <c r="F387" s="3" t="str">
        <f t="shared" ref="F387:F450" si="32">TEXT(D387,"yyyy")</f>
        <v>2025</v>
      </c>
      <c r="G387" s="4">
        <f t="shared" ref="G387:G450" si="33">MONTH(D387)</f>
        <v>9</v>
      </c>
      <c r="H387" s="3" t="str">
        <f t="shared" ref="H387:H450" si="34">IF(G387&lt;=3,"Q-1",IF(G387&lt;=6,"Q-2",IF(G387&lt;9,"Q-3","Q-4")))</f>
        <v>Q-4</v>
      </c>
      <c r="I387" t="s">
        <v>11</v>
      </c>
      <c r="J387" t="s">
        <v>32</v>
      </c>
      <c r="K387">
        <v>30</v>
      </c>
      <c r="L387" s="5">
        <v>4500</v>
      </c>
      <c r="M387">
        <v>95</v>
      </c>
      <c r="N387" t="s">
        <v>70</v>
      </c>
      <c r="O387" t="s">
        <v>506</v>
      </c>
      <c r="P387" t="s">
        <v>15</v>
      </c>
      <c r="Q387" s="5">
        <f>Table1[[#This Row],[Quantity]]*Table1[[#This Row],[Unit_Price]]</f>
        <v>135000</v>
      </c>
      <c r="R387" t="str">
        <f>IF(Table1[[#This Row],[Delivery_Days]]&lt;=3,"Fast",IF(Table1[[#This Row],[Delivery_Days]]&lt;=7,"Normal","Late"))</f>
        <v>Late</v>
      </c>
    </row>
    <row r="388" spans="1:18" x14ac:dyDescent="0.35">
      <c r="A388" t="s">
        <v>326</v>
      </c>
      <c r="B388" t="str">
        <f t="shared" si="30"/>
        <v>APX1367</v>
      </c>
      <c r="C388" s="3" t="s">
        <v>414</v>
      </c>
      <c r="D388" s="3">
        <f>IF(ISNUMBER(C388), C388, DATE(RIGHT(C388, 4), MATCH(LEFT(C388, 3), {"Jan","Feb","Mar","Apr","May","Jun","Jul","Aug","Sep","Oct","Nov","Dec"}, 0), MID(C388, 5, 2)))</f>
        <v>45695</v>
      </c>
      <c r="E388" s="3" t="str">
        <f t="shared" si="31"/>
        <v>Feb</v>
      </c>
      <c r="F388" s="3" t="str">
        <f t="shared" si="32"/>
        <v>2025</v>
      </c>
      <c r="G388" s="4">
        <f t="shared" si="33"/>
        <v>2</v>
      </c>
      <c r="H388" s="3" t="str">
        <f t="shared" si="34"/>
        <v>Q-1</v>
      </c>
      <c r="I388" t="s">
        <v>17</v>
      </c>
      <c r="J388" t="s">
        <v>32</v>
      </c>
      <c r="K388">
        <v>147</v>
      </c>
      <c r="L388" s="5">
        <v>27737</v>
      </c>
      <c r="M388">
        <v>95</v>
      </c>
      <c r="N388" t="s">
        <v>504</v>
      </c>
      <c r="O388" t="s">
        <v>506</v>
      </c>
      <c r="P388" t="s">
        <v>25</v>
      </c>
      <c r="Q388" s="5">
        <f>Table1[[#This Row],[Quantity]]*Table1[[#This Row],[Unit_Price]]</f>
        <v>4077339</v>
      </c>
      <c r="R388" t="str">
        <f>IF(Table1[[#This Row],[Delivery_Days]]&lt;=3,"Fast",IF(Table1[[#This Row],[Delivery_Days]]&lt;=7,"Normal","Late"))</f>
        <v>Late</v>
      </c>
    </row>
    <row r="389" spans="1:18" x14ac:dyDescent="0.35">
      <c r="A389" t="s">
        <v>415</v>
      </c>
      <c r="B389" t="str">
        <f t="shared" si="30"/>
        <v>APX1275</v>
      </c>
      <c r="C389" s="3">
        <v>45909</v>
      </c>
      <c r="D389" s="3">
        <f>IF(ISNUMBER(C389), C389, DATE(RIGHT(C389, 4), MATCH(LEFT(C389, 3), {"Jan","Feb","Mar","Apr","May","Jun","Jul","Aug","Sep","Oct","Nov","Dec"}, 0), MID(C389, 5, 2)))</f>
        <v>45909</v>
      </c>
      <c r="E389" s="3" t="str">
        <f t="shared" si="31"/>
        <v>Sep</v>
      </c>
      <c r="F389" s="3" t="str">
        <f t="shared" si="32"/>
        <v>2025</v>
      </c>
      <c r="G389" s="4">
        <f t="shared" si="33"/>
        <v>9</v>
      </c>
      <c r="H389" s="3" t="str">
        <f t="shared" si="34"/>
        <v>Q-4</v>
      </c>
      <c r="I389" t="s">
        <v>503</v>
      </c>
      <c r="J389" t="s">
        <v>32</v>
      </c>
      <c r="K389">
        <v>62</v>
      </c>
      <c r="L389" s="5">
        <v>6500</v>
      </c>
      <c r="M389">
        <v>3</v>
      </c>
      <c r="N389" t="s">
        <v>40</v>
      </c>
      <c r="O389" t="s">
        <v>506</v>
      </c>
      <c r="P389" t="s">
        <v>42</v>
      </c>
      <c r="Q389" s="5">
        <f>Table1[[#This Row],[Quantity]]*Table1[[#This Row],[Unit_Price]]</f>
        <v>403000</v>
      </c>
      <c r="R389" t="str">
        <f>IF(Table1[[#This Row],[Delivery_Days]]&lt;=3,"Fast",IF(Table1[[#This Row],[Delivery_Days]]&lt;=7,"Normal","Late"))</f>
        <v>Fast</v>
      </c>
    </row>
    <row r="390" spans="1:18" x14ac:dyDescent="0.35">
      <c r="A390" t="s">
        <v>244</v>
      </c>
      <c r="B390" t="str">
        <f t="shared" si="30"/>
        <v>APX1290</v>
      </c>
      <c r="C390" s="3" t="s">
        <v>416</v>
      </c>
      <c r="D390" s="3">
        <f>IF(ISNUMBER(C390), C390, DATE(RIGHT(C390, 4), MATCH(LEFT(C390, 3), {"Jan","Feb","Mar","Apr","May","Jun","Jul","Aug","Sep","Oct","Nov","Dec"}, 0), MID(C390, 5, 2)))</f>
        <v>45991</v>
      </c>
      <c r="E390" s="3" t="str">
        <f t="shared" si="31"/>
        <v>Nov</v>
      </c>
      <c r="F390" s="3" t="str">
        <f t="shared" si="32"/>
        <v>2025</v>
      </c>
      <c r="G390" s="4">
        <f t="shared" si="33"/>
        <v>11</v>
      </c>
      <c r="H390" s="3" t="str">
        <f t="shared" si="34"/>
        <v>Q-4</v>
      </c>
      <c r="I390" t="s">
        <v>17</v>
      </c>
      <c r="J390" t="s">
        <v>89</v>
      </c>
      <c r="K390">
        <v>30</v>
      </c>
      <c r="L390" s="5">
        <v>6500</v>
      </c>
      <c r="M390">
        <v>95</v>
      </c>
      <c r="N390" t="s">
        <v>504</v>
      </c>
      <c r="O390" t="s">
        <v>46</v>
      </c>
      <c r="P390" t="s">
        <v>25</v>
      </c>
      <c r="Q390" s="5">
        <f>Table1[[#This Row],[Quantity]]*Table1[[#This Row],[Unit_Price]]</f>
        <v>195000</v>
      </c>
      <c r="R390" t="str">
        <f>IF(Table1[[#This Row],[Delivery_Days]]&lt;=3,"Fast",IF(Table1[[#This Row],[Delivery_Days]]&lt;=7,"Normal","Late"))</f>
        <v>Late</v>
      </c>
    </row>
    <row r="391" spans="1:18" x14ac:dyDescent="0.35">
      <c r="A391">
        <v>1099</v>
      </c>
      <c r="B391" t="str">
        <f t="shared" si="30"/>
        <v>APX1099</v>
      </c>
      <c r="C391" s="3">
        <v>45726</v>
      </c>
      <c r="D391" s="3">
        <f>IF(ISNUMBER(C391), C391, DATE(RIGHT(C391, 4), MATCH(LEFT(C391, 3), {"Jan","Feb","Mar","Apr","May","Jun","Jul","Aug","Sep","Oct","Nov","Dec"}, 0), MID(C391, 5, 2)))</f>
        <v>45726</v>
      </c>
      <c r="E391" s="3" t="str">
        <f t="shared" si="31"/>
        <v>Mar</v>
      </c>
      <c r="F391" s="3" t="str">
        <f t="shared" si="32"/>
        <v>2025</v>
      </c>
      <c r="G391" s="4">
        <f t="shared" si="33"/>
        <v>3</v>
      </c>
      <c r="H391" s="3" t="str">
        <f t="shared" si="34"/>
        <v>Q-1</v>
      </c>
      <c r="I391" t="s">
        <v>11</v>
      </c>
      <c r="J391" t="s">
        <v>32</v>
      </c>
      <c r="K391">
        <v>2500</v>
      </c>
      <c r="L391" s="5">
        <v>4500</v>
      </c>
      <c r="M391">
        <v>8</v>
      </c>
      <c r="N391" t="s">
        <v>505</v>
      </c>
      <c r="O391" t="s">
        <v>506</v>
      </c>
      <c r="P391" t="s">
        <v>15</v>
      </c>
      <c r="Q391" s="5">
        <f>Table1[[#This Row],[Quantity]]*Table1[[#This Row],[Unit_Price]]</f>
        <v>11250000</v>
      </c>
      <c r="R391" t="str">
        <f>IF(Table1[[#This Row],[Delivery_Days]]&lt;=3,"Fast",IF(Table1[[#This Row],[Delivery_Days]]&lt;=7,"Normal","Late"))</f>
        <v>Late</v>
      </c>
    </row>
    <row r="392" spans="1:18" x14ac:dyDescent="0.35">
      <c r="A392" t="s">
        <v>175</v>
      </c>
      <c r="B392" t="str">
        <f t="shared" si="30"/>
        <v>APX1028</v>
      </c>
      <c r="C392" s="3" t="s">
        <v>417</v>
      </c>
      <c r="D392" s="3">
        <f>IF(ISNUMBER(C392), C392, DATE(RIGHT(C392, 4), MATCH(LEFT(C392, 3), {"Jan","Feb","Mar","Apr","May","Jun","Jul","Aug","Sep","Oct","Nov","Dec"}, 0), MID(C392, 5, 2)))</f>
        <v>45667</v>
      </c>
      <c r="E392" s="3" t="str">
        <f t="shared" si="31"/>
        <v>Jan</v>
      </c>
      <c r="F392" s="3" t="str">
        <f t="shared" si="32"/>
        <v>2025</v>
      </c>
      <c r="G392" s="4">
        <f t="shared" si="33"/>
        <v>1</v>
      </c>
      <c r="H392" s="3" t="str">
        <f t="shared" si="34"/>
        <v>Q-1</v>
      </c>
      <c r="I392" t="s">
        <v>11</v>
      </c>
      <c r="J392" t="s">
        <v>32</v>
      </c>
      <c r="K392">
        <v>30</v>
      </c>
      <c r="L392" s="5">
        <v>6500</v>
      </c>
      <c r="M392">
        <v>3</v>
      </c>
      <c r="N392" t="s">
        <v>40</v>
      </c>
      <c r="O392" t="s">
        <v>506</v>
      </c>
      <c r="P392" t="s">
        <v>25</v>
      </c>
      <c r="Q392" s="5">
        <f>Table1[[#This Row],[Quantity]]*Table1[[#This Row],[Unit_Price]]</f>
        <v>195000</v>
      </c>
      <c r="R392" t="str">
        <f>IF(Table1[[#This Row],[Delivery_Days]]&lt;=3,"Fast",IF(Table1[[#This Row],[Delivery_Days]]&lt;=7,"Normal","Late"))</f>
        <v>Fast</v>
      </c>
    </row>
    <row r="393" spans="1:18" x14ac:dyDescent="0.35">
      <c r="A393" t="s">
        <v>257</v>
      </c>
      <c r="B393" t="str">
        <f t="shared" si="30"/>
        <v>APX1214</v>
      </c>
      <c r="C393" s="3">
        <v>45998</v>
      </c>
      <c r="D393" s="3">
        <f>IF(ISNUMBER(C393), C393, DATE(RIGHT(C393, 4), MATCH(LEFT(C393, 3), {"Jan","Feb","Mar","Apr","May","Jun","Jul","Aug","Sep","Oct","Nov","Dec"}, 0), MID(C393, 5, 2)))</f>
        <v>45998</v>
      </c>
      <c r="E393" s="3" t="str">
        <f t="shared" si="31"/>
        <v>Dec</v>
      </c>
      <c r="F393" s="3" t="str">
        <f t="shared" si="32"/>
        <v>2025</v>
      </c>
      <c r="G393" s="4">
        <f t="shared" si="33"/>
        <v>12</v>
      </c>
      <c r="H393" s="3" t="str">
        <f t="shared" si="34"/>
        <v>Q-4</v>
      </c>
      <c r="I393" t="s">
        <v>76</v>
      </c>
      <c r="J393" t="s">
        <v>39</v>
      </c>
      <c r="K393">
        <v>178</v>
      </c>
      <c r="L393" s="5">
        <v>10229</v>
      </c>
      <c r="M393">
        <v>8</v>
      </c>
      <c r="N393" t="s">
        <v>560</v>
      </c>
      <c r="O393" t="s">
        <v>506</v>
      </c>
      <c r="P393" t="s">
        <v>74</v>
      </c>
      <c r="Q393" s="5">
        <f>Table1[[#This Row],[Quantity]]*Table1[[#This Row],[Unit_Price]]</f>
        <v>1820762</v>
      </c>
      <c r="R393" t="str">
        <f>IF(Table1[[#This Row],[Delivery_Days]]&lt;=3,"Fast",IF(Table1[[#This Row],[Delivery_Days]]&lt;=7,"Normal","Late"))</f>
        <v>Late</v>
      </c>
    </row>
    <row r="394" spans="1:18" x14ac:dyDescent="0.35">
      <c r="A394" t="s">
        <v>418</v>
      </c>
      <c r="B394" t="str">
        <f t="shared" si="30"/>
        <v>APX1302</v>
      </c>
      <c r="C394" s="3">
        <v>45864</v>
      </c>
      <c r="D394" s="3">
        <f>IF(ISNUMBER(C394), C394, DATE(RIGHT(C394, 4), MATCH(LEFT(C394, 3), {"Jan","Feb","Mar","Apr","May","Jun","Jul","Aug","Sep","Oct","Nov","Dec"}, 0), MID(C394, 5, 2)))</f>
        <v>45864</v>
      </c>
      <c r="E394" s="3" t="str">
        <f t="shared" si="31"/>
        <v>Jul</v>
      </c>
      <c r="F394" s="3" t="str">
        <f t="shared" si="32"/>
        <v>2025</v>
      </c>
      <c r="G394" s="4">
        <f t="shared" si="33"/>
        <v>7</v>
      </c>
      <c r="H394" s="3" t="str">
        <f t="shared" si="34"/>
        <v>Q-3</v>
      </c>
      <c r="I394" t="s">
        <v>11</v>
      </c>
      <c r="J394" t="s">
        <v>32</v>
      </c>
      <c r="K394">
        <v>6</v>
      </c>
      <c r="L394" s="5">
        <v>800</v>
      </c>
      <c r="M394">
        <v>95</v>
      </c>
      <c r="N394" t="s">
        <v>40</v>
      </c>
      <c r="O394" t="s">
        <v>506</v>
      </c>
      <c r="P394" t="s">
        <v>42</v>
      </c>
      <c r="Q394" s="5">
        <f>Table1[[#This Row],[Quantity]]*Table1[[#This Row],[Unit_Price]]</f>
        <v>4800</v>
      </c>
      <c r="R394" t="str">
        <f>IF(Table1[[#This Row],[Delivery_Days]]&lt;=3,"Fast",IF(Table1[[#This Row],[Delivery_Days]]&lt;=7,"Normal","Late"))</f>
        <v>Late</v>
      </c>
    </row>
    <row r="395" spans="1:18" x14ac:dyDescent="0.35">
      <c r="A395">
        <v>1059</v>
      </c>
      <c r="B395" t="str">
        <f t="shared" si="30"/>
        <v>APX1059</v>
      </c>
      <c r="C395" s="3">
        <v>45712</v>
      </c>
      <c r="D395" s="3">
        <f>IF(ISNUMBER(C395), C395, DATE(RIGHT(C395, 4), MATCH(LEFT(C395, 3), {"Jan","Feb","Mar","Apr","May","Jun","Jul","Aug","Sep","Oct","Nov","Dec"}, 0), MID(C395, 5, 2)))</f>
        <v>45712</v>
      </c>
      <c r="E395" s="3" t="str">
        <f t="shared" si="31"/>
        <v>Feb</v>
      </c>
      <c r="F395" s="3" t="str">
        <f t="shared" si="32"/>
        <v>2025</v>
      </c>
      <c r="G395" s="4">
        <f t="shared" si="33"/>
        <v>2</v>
      </c>
      <c r="H395" s="3" t="str">
        <f t="shared" si="34"/>
        <v>Q-1</v>
      </c>
      <c r="I395" t="s">
        <v>76</v>
      </c>
      <c r="J395" t="s">
        <v>39</v>
      </c>
      <c r="K395">
        <v>12</v>
      </c>
      <c r="L395" s="5">
        <v>850000</v>
      </c>
      <c r="M395">
        <v>95</v>
      </c>
      <c r="N395" t="s">
        <v>505</v>
      </c>
      <c r="O395" t="s">
        <v>14</v>
      </c>
      <c r="P395" t="s">
        <v>25</v>
      </c>
      <c r="Q395" s="5">
        <f>Table1[[#This Row],[Quantity]]*Table1[[#This Row],[Unit_Price]]</f>
        <v>10200000</v>
      </c>
      <c r="R395" t="str">
        <f>IF(Table1[[#This Row],[Delivery_Days]]&lt;=3,"Fast",IF(Table1[[#This Row],[Delivery_Days]]&lt;=7,"Normal","Late"))</f>
        <v>Late</v>
      </c>
    </row>
    <row r="396" spans="1:18" x14ac:dyDescent="0.35">
      <c r="A396" t="s">
        <v>58</v>
      </c>
      <c r="B396" t="str">
        <f t="shared" si="30"/>
        <v>APX1207</v>
      </c>
      <c r="C396" s="3">
        <v>45743</v>
      </c>
      <c r="D396" s="3">
        <f>IF(ISNUMBER(C396), C396, DATE(RIGHT(C396, 4), MATCH(LEFT(C396, 3), {"Jan","Feb","Mar","Apr","May","Jun","Jul","Aug","Sep","Oct","Nov","Dec"}, 0), MID(C396, 5, 2)))</f>
        <v>45743</v>
      </c>
      <c r="E396" s="3" t="str">
        <f t="shared" si="31"/>
        <v>Mar</v>
      </c>
      <c r="F396" s="3" t="str">
        <f t="shared" si="32"/>
        <v>2025</v>
      </c>
      <c r="G396" s="4">
        <f t="shared" si="33"/>
        <v>3</v>
      </c>
      <c r="H396" s="3" t="str">
        <f t="shared" si="34"/>
        <v>Q-1</v>
      </c>
      <c r="I396" t="s">
        <v>503</v>
      </c>
      <c r="J396" t="s">
        <v>28</v>
      </c>
      <c r="K396">
        <v>99</v>
      </c>
      <c r="L396" s="5">
        <v>850000</v>
      </c>
      <c r="M396">
        <v>95</v>
      </c>
      <c r="N396" t="s">
        <v>40</v>
      </c>
      <c r="O396" t="s">
        <v>506</v>
      </c>
      <c r="P396" t="s">
        <v>25</v>
      </c>
      <c r="Q396" s="5">
        <f>Table1[[#This Row],[Quantity]]*Table1[[#This Row],[Unit_Price]]</f>
        <v>84150000</v>
      </c>
      <c r="R396" t="str">
        <f>IF(Table1[[#This Row],[Delivery_Days]]&lt;=3,"Fast",IF(Table1[[#This Row],[Delivery_Days]]&lt;=7,"Normal","Late"))</f>
        <v>Late</v>
      </c>
    </row>
    <row r="397" spans="1:18" x14ac:dyDescent="0.35">
      <c r="A397" t="s">
        <v>419</v>
      </c>
      <c r="B397" t="str">
        <f t="shared" si="30"/>
        <v>APX1101</v>
      </c>
      <c r="C397" s="3">
        <v>45863</v>
      </c>
      <c r="D397" s="3">
        <f>IF(ISNUMBER(C397), C397, DATE(RIGHT(C397, 4), MATCH(LEFT(C397, 3), {"Jan","Feb","Mar","Apr","May","Jun","Jul","Aug","Sep","Oct","Nov","Dec"}, 0), MID(C397, 5, 2)))</f>
        <v>45863</v>
      </c>
      <c r="E397" s="3" t="str">
        <f t="shared" si="31"/>
        <v>Jul</v>
      </c>
      <c r="F397" s="3" t="str">
        <f t="shared" si="32"/>
        <v>2025</v>
      </c>
      <c r="G397" s="4">
        <f t="shared" si="33"/>
        <v>7</v>
      </c>
      <c r="H397" s="3" t="str">
        <f t="shared" si="34"/>
        <v>Q-3</v>
      </c>
      <c r="I397" t="s">
        <v>502</v>
      </c>
      <c r="J397" t="s">
        <v>64</v>
      </c>
      <c r="K397">
        <v>2500</v>
      </c>
      <c r="L397" s="5">
        <v>850000</v>
      </c>
      <c r="M397">
        <v>95</v>
      </c>
      <c r="N397" t="s">
        <v>504</v>
      </c>
      <c r="O397" t="s">
        <v>506</v>
      </c>
      <c r="P397" t="s">
        <v>25</v>
      </c>
      <c r="Q397" s="5">
        <f>Table1[[#This Row],[Quantity]]*Table1[[#This Row],[Unit_Price]]</f>
        <v>2125000000</v>
      </c>
      <c r="R397" t="str">
        <f>IF(Table1[[#This Row],[Delivery_Days]]&lt;=3,"Fast",IF(Table1[[#This Row],[Delivery_Days]]&lt;=7,"Normal","Late"))</f>
        <v>Late</v>
      </c>
    </row>
    <row r="398" spans="1:18" x14ac:dyDescent="0.35">
      <c r="A398" t="s">
        <v>420</v>
      </c>
      <c r="B398" t="str">
        <f t="shared" si="30"/>
        <v>APX1002</v>
      </c>
      <c r="C398" s="3">
        <v>46022</v>
      </c>
      <c r="D398" s="3">
        <f>IF(ISNUMBER(C398), C398, DATE(RIGHT(C398, 4), MATCH(LEFT(C398, 3), {"Jan","Feb","Mar","Apr","May","Jun","Jul","Aug","Sep","Oct","Nov","Dec"}, 0), MID(C398, 5, 2)))</f>
        <v>46022</v>
      </c>
      <c r="E398" s="3" t="str">
        <f t="shared" si="31"/>
        <v>Dec</v>
      </c>
      <c r="F398" s="3" t="str">
        <f t="shared" si="32"/>
        <v>2025</v>
      </c>
      <c r="G398" s="4">
        <f t="shared" si="33"/>
        <v>12</v>
      </c>
      <c r="H398" s="3" t="str">
        <f t="shared" si="34"/>
        <v>Q-4</v>
      </c>
      <c r="I398" t="s">
        <v>502</v>
      </c>
      <c r="J398" t="s">
        <v>39</v>
      </c>
      <c r="K398">
        <v>30</v>
      </c>
      <c r="L398" s="5">
        <v>850000</v>
      </c>
      <c r="M398">
        <v>7</v>
      </c>
      <c r="N398" t="s">
        <v>70</v>
      </c>
      <c r="O398" t="s">
        <v>46</v>
      </c>
      <c r="P398" t="s">
        <v>15</v>
      </c>
      <c r="Q398" s="5">
        <f>Table1[[#This Row],[Quantity]]*Table1[[#This Row],[Unit_Price]]</f>
        <v>25500000</v>
      </c>
      <c r="R398" t="str">
        <f>IF(Table1[[#This Row],[Delivery_Days]]&lt;=3,"Fast",IF(Table1[[#This Row],[Delivery_Days]]&lt;=7,"Normal","Late"))</f>
        <v>Normal</v>
      </c>
    </row>
    <row r="399" spans="1:18" x14ac:dyDescent="0.35">
      <c r="A399" t="s">
        <v>421</v>
      </c>
      <c r="B399" t="str">
        <f t="shared" si="30"/>
        <v>APX1173</v>
      </c>
      <c r="C399" s="3">
        <v>45884</v>
      </c>
      <c r="D399" s="3">
        <f>IF(ISNUMBER(C399), C399, DATE(RIGHT(C399, 4), MATCH(LEFT(C399, 3), {"Jan","Feb","Mar","Apr","May","Jun","Jul","Aug","Sep","Oct","Nov","Dec"}, 0), MID(C399, 5, 2)))</f>
        <v>45884</v>
      </c>
      <c r="E399" s="3" t="str">
        <f t="shared" si="31"/>
        <v>Aug</v>
      </c>
      <c r="F399" s="3" t="str">
        <f t="shared" si="32"/>
        <v>2025</v>
      </c>
      <c r="G399" s="4">
        <f t="shared" si="33"/>
        <v>8</v>
      </c>
      <c r="H399" s="3" t="str">
        <f t="shared" si="34"/>
        <v>Q-3</v>
      </c>
      <c r="I399" t="s">
        <v>503</v>
      </c>
      <c r="J399" t="s">
        <v>64</v>
      </c>
      <c r="K399">
        <v>12</v>
      </c>
      <c r="L399" s="5">
        <v>36616</v>
      </c>
      <c r="M399">
        <v>12</v>
      </c>
      <c r="N399" t="s">
        <v>40</v>
      </c>
      <c r="O399" t="s">
        <v>506</v>
      </c>
      <c r="P399" t="s">
        <v>42</v>
      </c>
      <c r="Q399" s="5">
        <f>Table1[[#This Row],[Quantity]]*Table1[[#This Row],[Unit_Price]]</f>
        <v>439392</v>
      </c>
      <c r="R399" t="str">
        <f>IF(Table1[[#This Row],[Delivery_Days]]&lt;=3,"Fast",IF(Table1[[#This Row],[Delivery_Days]]&lt;=7,"Normal","Late"))</f>
        <v>Late</v>
      </c>
    </row>
    <row r="400" spans="1:18" x14ac:dyDescent="0.35">
      <c r="A400" t="s">
        <v>331</v>
      </c>
      <c r="B400" t="str">
        <f t="shared" si="30"/>
        <v>APX1172</v>
      </c>
      <c r="C400" s="3">
        <v>45716</v>
      </c>
      <c r="D400" s="3">
        <f>IF(ISNUMBER(C400), C400, DATE(RIGHT(C400, 4), MATCH(LEFT(C400, 3), {"Jan","Feb","Mar","Apr","May","Jun","Jul","Aug","Sep","Oct","Nov","Dec"}, 0), MID(C400, 5, 2)))</f>
        <v>45716</v>
      </c>
      <c r="E400" s="3" t="str">
        <f t="shared" si="31"/>
        <v>Feb</v>
      </c>
      <c r="F400" s="3" t="str">
        <f t="shared" si="32"/>
        <v>2025</v>
      </c>
      <c r="G400" s="4">
        <f t="shared" si="33"/>
        <v>2</v>
      </c>
      <c r="H400" s="3" t="str">
        <f t="shared" si="34"/>
        <v>Q-1</v>
      </c>
      <c r="I400" t="s">
        <v>502</v>
      </c>
      <c r="J400" t="s">
        <v>73</v>
      </c>
      <c r="K400">
        <v>149</v>
      </c>
      <c r="L400" s="5">
        <v>6500</v>
      </c>
      <c r="M400">
        <v>3</v>
      </c>
      <c r="N400" t="s">
        <v>504</v>
      </c>
      <c r="O400" t="s">
        <v>46</v>
      </c>
      <c r="P400" t="s">
        <v>74</v>
      </c>
      <c r="Q400" s="5">
        <f>Table1[[#This Row],[Quantity]]*Table1[[#This Row],[Unit_Price]]</f>
        <v>968500</v>
      </c>
      <c r="R400" t="str">
        <f>IF(Table1[[#This Row],[Delivery_Days]]&lt;=3,"Fast",IF(Table1[[#This Row],[Delivery_Days]]&lt;=7,"Normal","Late"))</f>
        <v>Fast</v>
      </c>
    </row>
    <row r="401" spans="1:18" x14ac:dyDescent="0.35">
      <c r="A401" t="s">
        <v>422</v>
      </c>
      <c r="B401" t="str">
        <f t="shared" si="30"/>
        <v>APX1161</v>
      </c>
      <c r="C401" s="3">
        <v>45882</v>
      </c>
      <c r="D401" s="3">
        <f>IF(ISNUMBER(C401), C401, DATE(RIGHT(C401, 4), MATCH(LEFT(C401, 3), {"Jan","Feb","Mar","Apr","May","Jun","Jul","Aug","Sep","Oct","Nov","Dec"}, 0), MID(C401, 5, 2)))</f>
        <v>45882</v>
      </c>
      <c r="E401" s="3" t="str">
        <f t="shared" si="31"/>
        <v>Aug</v>
      </c>
      <c r="F401" s="3" t="str">
        <f t="shared" si="32"/>
        <v>2025</v>
      </c>
      <c r="G401" s="4">
        <f t="shared" si="33"/>
        <v>8</v>
      </c>
      <c r="H401" s="3" t="str">
        <f t="shared" si="34"/>
        <v>Q-3</v>
      </c>
      <c r="I401" t="s">
        <v>17</v>
      </c>
      <c r="J401" t="s">
        <v>32</v>
      </c>
      <c r="K401">
        <v>2500</v>
      </c>
      <c r="L401" s="5">
        <v>25148</v>
      </c>
      <c r="M401">
        <v>3</v>
      </c>
      <c r="N401" t="s">
        <v>70</v>
      </c>
      <c r="O401" t="s">
        <v>506</v>
      </c>
      <c r="P401" t="s">
        <v>25</v>
      </c>
      <c r="Q401" s="5">
        <f>Table1[[#This Row],[Quantity]]*Table1[[#This Row],[Unit_Price]]</f>
        <v>62870000</v>
      </c>
      <c r="R401" t="str">
        <f>IF(Table1[[#This Row],[Delivery_Days]]&lt;=3,"Fast",IF(Table1[[#This Row],[Delivery_Days]]&lt;=7,"Normal","Late"))</f>
        <v>Fast</v>
      </c>
    </row>
    <row r="402" spans="1:18" x14ac:dyDescent="0.35">
      <c r="A402" t="s">
        <v>423</v>
      </c>
      <c r="B402" t="str">
        <f t="shared" si="30"/>
        <v>APX1027</v>
      </c>
      <c r="C402" s="3">
        <v>46014</v>
      </c>
      <c r="D402" s="3">
        <f>IF(ISNUMBER(C402), C402, DATE(RIGHT(C402, 4), MATCH(LEFT(C402, 3), {"Jan","Feb","Mar","Apr","May","Jun","Jul","Aug","Sep","Oct","Nov","Dec"}, 0), MID(C402, 5, 2)))</f>
        <v>46014</v>
      </c>
      <c r="E402" s="3" t="str">
        <f t="shared" si="31"/>
        <v>Dec</v>
      </c>
      <c r="F402" s="3" t="str">
        <f t="shared" si="32"/>
        <v>2025</v>
      </c>
      <c r="G402" s="4">
        <f t="shared" si="33"/>
        <v>12</v>
      </c>
      <c r="H402" s="3" t="str">
        <f t="shared" si="34"/>
        <v>Q-4</v>
      </c>
      <c r="I402" t="s">
        <v>76</v>
      </c>
      <c r="J402" t="s">
        <v>39</v>
      </c>
      <c r="K402">
        <v>30</v>
      </c>
      <c r="L402" s="5">
        <v>4500</v>
      </c>
      <c r="M402">
        <v>3</v>
      </c>
      <c r="N402" t="s">
        <v>505</v>
      </c>
      <c r="O402" t="s">
        <v>14</v>
      </c>
      <c r="P402" t="s">
        <v>25</v>
      </c>
      <c r="Q402" s="5">
        <f>Table1[[#This Row],[Quantity]]*Table1[[#This Row],[Unit_Price]]</f>
        <v>135000</v>
      </c>
      <c r="R402" t="str">
        <f>IF(Table1[[#This Row],[Delivery_Days]]&lt;=3,"Fast",IF(Table1[[#This Row],[Delivery_Days]]&lt;=7,"Normal","Late"))</f>
        <v>Fast</v>
      </c>
    </row>
    <row r="403" spans="1:18" x14ac:dyDescent="0.35">
      <c r="A403" t="s">
        <v>424</v>
      </c>
      <c r="B403" t="str">
        <f t="shared" si="30"/>
        <v>APX1368</v>
      </c>
      <c r="C403" s="3">
        <v>45995</v>
      </c>
      <c r="D403" s="3">
        <f>IF(ISNUMBER(C403), C403, DATE(RIGHT(C403, 4), MATCH(LEFT(C403, 3), {"Jan","Feb","Mar","Apr","May","Jun","Jul","Aug","Sep","Oct","Nov","Dec"}, 0), MID(C403, 5, 2)))</f>
        <v>45995</v>
      </c>
      <c r="E403" s="3" t="str">
        <f t="shared" si="31"/>
        <v>Dec</v>
      </c>
      <c r="F403" s="3" t="str">
        <f t="shared" si="32"/>
        <v>2025</v>
      </c>
      <c r="G403" s="4">
        <f t="shared" si="33"/>
        <v>12</v>
      </c>
      <c r="H403" s="3" t="str">
        <f t="shared" si="34"/>
        <v>Q-4</v>
      </c>
      <c r="I403" t="s">
        <v>510</v>
      </c>
      <c r="J403" t="s">
        <v>32</v>
      </c>
      <c r="K403">
        <v>165</v>
      </c>
      <c r="L403" s="5">
        <v>4500</v>
      </c>
      <c r="M403">
        <v>95</v>
      </c>
      <c r="N403" t="s">
        <v>40</v>
      </c>
      <c r="O403" t="s">
        <v>506</v>
      </c>
      <c r="P403" t="s">
        <v>15</v>
      </c>
      <c r="Q403" s="5">
        <f>Table1[[#This Row],[Quantity]]*Table1[[#This Row],[Unit_Price]]</f>
        <v>742500</v>
      </c>
      <c r="R403" t="str">
        <f>IF(Table1[[#This Row],[Delivery_Days]]&lt;=3,"Fast",IF(Table1[[#This Row],[Delivery_Days]]&lt;=7,"Normal","Late"))</f>
        <v>Late</v>
      </c>
    </row>
    <row r="404" spans="1:18" x14ac:dyDescent="0.35">
      <c r="A404" t="s">
        <v>200</v>
      </c>
      <c r="B404" t="str">
        <f t="shared" si="30"/>
        <v>APX1384</v>
      </c>
      <c r="C404" s="3" t="s">
        <v>425</v>
      </c>
      <c r="D404" s="3">
        <f>IF(ISNUMBER(C404), C404, DATE(RIGHT(C404, 4), MATCH(LEFT(C404, 3), {"Jan","Feb","Mar","Apr","May","Jun","Jul","Aug","Sep","Oct","Nov","Dec"}, 0), MID(C404, 5, 2)))</f>
        <v>45795</v>
      </c>
      <c r="E404" s="3" t="str">
        <f t="shared" si="31"/>
        <v>May</v>
      </c>
      <c r="F404" s="3" t="str">
        <f t="shared" si="32"/>
        <v>2025</v>
      </c>
      <c r="G404" s="4">
        <f t="shared" si="33"/>
        <v>5</v>
      </c>
      <c r="H404" s="3" t="str">
        <f t="shared" si="34"/>
        <v>Q-2</v>
      </c>
      <c r="I404" t="s">
        <v>76</v>
      </c>
      <c r="J404" t="s">
        <v>32</v>
      </c>
      <c r="K404">
        <v>2500</v>
      </c>
      <c r="L404" s="5">
        <v>6500</v>
      </c>
      <c r="M404">
        <v>6</v>
      </c>
      <c r="N404" t="s">
        <v>40</v>
      </c>
      <c r="O404" t="s">
        <v>506</v>
      </c>
      <c r="P404" t="s">
        <v>25</v>
      </c>
      <c r="Q404" s="5">
        <f>Table1[[#This Row],[Quantity]]*Table1[[#This Row],[Unit_Price]]</f>
        <v>16250000</v>
      </c>
      <c r="R404" t="str">
        <f>IF(Table1[[#This Row],[Delivery_Days]]&lt;=3,"Fast",IF(Table1[[#This Row],[Delivery_Days]]&lt;=7,"Normal","Late"))</f>
        <v>Normal</v>
      </c>
    </row>
    <row r="405" spans="1:18" x14ac:dyDescent="0.35">
      <c r="A405" t="s">
        <v>184</v>
      </c>
      <c r="B405" t="str">
        <f t="shared" si="30"/>
        <v>APX1385</v>
      </c>
      <c r="C405" s="3">
        <v>45896</v>
      </c>
      <c r="D405" s="3">
        <f>IF(ISNUMBER(C405), C405, DATE(RIGHT(C405, 4), MATCH(LEFT(C405, 3), {"Jan","Feb","Mar","Apr","May","Jun","Jul","Aug","Sep","Oct","Nov","Dec"}, 0), MID(C405, 5, 2)))</f>
        <v>45896</v>
      </c>
      <c r="E405" s="3" t="str">
        <f t="shared" si="31"/>
        <v>Aug</v>
      </c>
      <c r="F405" s="3" t="str">
        <f t="shared" si="32"/>
        <v>2025</v>
      </c>
      <c r="G405" s="4">
        <f t="shared" si="33"/>
        <v>8</v>
      </c>
      <c r="H405" s="3" t="str">
        <f t="shared" si="34"/>
        <v>Q-3</v>
      </c>
      <c r="I405" t="s">
        <v>510</v>
      </c>
      <c r="J405" t="s">
        <v>32</v>
      </c>
      <c r="K405">
        <v>155</v>
      </c>
      <c r="L405" s="5">
        <v>850000</v>
      </c>
      <c r="M405">
        <v>95</v>
      </c>
      <c r="N405" t="s">
        <v>40</v>
      </c>
      <c r="O405" t="s">
        <v>506</v>
      </c>
      <c r="P405" t="s">
        <v>74</v>
      </c>
      <c r="Q405" s="5">
        <f>Table1[[#This Row],[Quantity]]*Table1[[#This Row],[Unit_Price]]</f>
        <v>131750000</v>
      </c>
      <c r="R405" t="str">
        <f>IF(Table1[[#This Row],[Delivery_Days]]&lt;=3,"Fast",IF(Table1[[#This Row],[Delivery_Days]]&lt;=7,"Normal","Late"))</f>
        <v>Late</v>
      </c>
    </row>
    <row r="406" spans="1:18" x14ac:dyDescent="0.35">
      <c r="A406" t="s">
        <v>253</v>
      </c>
      <c r="B406" t="str">
        <f t="shared" si="30"/>
        <v>APX1291</v>
      </c>
      <c r="C406" s="3">
        <v>45911</v>
      </c>
      <c r="D406" s="3">
        <f>IF(ISNUMBER(C406), C406, DATE(RIGHT(C406, 4), MATCH(LEFT(C406, 3), {"Jan","Feb","Mar","Apr","May","Jun","Jul","Aug","Sep","Oct","Nov","Dec"}, 0), MID(C406, 5, 2)))</f>
        <v>45911</v>
      </c>
      <c r="E406" s="3" t="str">
        <f t="shared" si="31"/>
        <v>Sep</v>
      </c>
      <c r="F406" s="3" t="str">
        <f t="shared" si="32"/>
        <v>2025</v>
      </c>
      <c r="G406" s="4">
        <f t="shared" si="33"/>
        <v>9</v>
      </c>
      <c r="H406" s="3" t="str">
        <f t="shared" si="34"/>
        <v>Q-4</v>
      </c>
      <c r="I406" t="s">
        <v>76</v>
      </c>
      <c r="J406" t="s">
        <v>28</v>
      </c>
      <c r="K406">
        <v>2500</v>
      </c>
      <c r="L406" s="5">
        <v>850000</v>
      </c>
      <c r="M406">
        <v>3</v>
      </c>
      <c r="N406" t="s">
        <v>70</v>
      </c>
      <c r="O406" t="s">
        <v>506</v>
      </c>
      <c r="P406" t="s">
        <v>25</v>
      </c>
      <c r="Q406" s="5">
        <f>Table1[[#This Row],[Quantity]]*Table1[[#This Row],[Unit_Price]]</f>
        <v>2125000000</v>
      </c>
      <c r="R406" t="str">
        <f>IF(Table1[[#This Row],[Delivery_Days]]&lt;=3,"Fast",IF(Table1[[#This Row],[Delivery_Days]]&lt;=7,"Normal","Late"))</f>
        <v>Fast</v>
      </c>
    </row>
    <row r="407" spans="1:18" x14ac:dyDescent="0.35">
      <c r="A407" t="s">
        <v>60</v>
      </c>
      <c r="B407" t="str">
        <f t="shared" si="30"/>
        <v>APX1011</v>
      </c>
      <c r="C407" s="3">
        <v>45846</v>
      </c>
      <c r="D407" s="3">
        <f>IF(ISNUMBER(C407), C407, DATE(RIGHT(C407, 4), MATCH(LEFT(C407, 3), {"Jan","Feb","Mar","Apr","May","Jun","Jul","Aug","Sep","Oct","Nov","Dec"}, 0), MID(C407, 5, 2)))</f>
        <v>45846</v>
      </c>
      <c r="E407" s="3" t="str">
        <f t="shared" si="31"/>
        <v>Jul</v>
      </c>
      <c r="F407" s="3" t="str">
        <f t="shared" si="32"/>
        <v>2025</v>
      </c>
      <c r="G407" s="4">
        <f t="shared" si="33"/>
        <v>7</v>
      </c>
      <c r="H407" s="3" t="str">
        <f t="shared" si="34"/>
        <v>Q-3</v>
      </c>
      <c r="I407" t="s">
        <v>502</v>
      </c>
      <c r="J407" t="s">
        <v>73</v>
      </c>
      <c r="K407">
        <v>2500</v>
      </c>
      <c r="L407" s="5">
        <v>4500</v>
      </c>
      <c r="M407">
        <v>3</v>
      </c>
      <c r="N407" t="s">
        <v>40</v>
      </c>
      <c r="O407" t="s">
        <v>506</v>
      </c>
      <c r="P407" t="s">
        <v>74</v>
      </c>
      <c r="Q407" s="5">
        <f>Table1[[#This Row],[Quantity]]*Table1[[#This Row],[Unit_Price]]</f>
        <v>11250000</v>
      </c>
      <c r="R407" t="str">
        <f>IF(Table1[[#This Row],[Delivery_Days]]&lt;=3,"Fast",IF(Table1[[#This Row],[Delivery_Days]]&lt;=7,"Normal","Late"))</f>
        <v>Fast</v>
      </c>
    </row>
    <row r="408" spans="1:18" x14ac:dyDescent="0.35">
      <c r="A408" t="s">
        <v>426</v>
      </c>
      <c r="B408" t="str">
        <f t="shared" si="30"/>
        <v>APX1067</v>
      </c>
      <c r="C408" s="3">
        <v>45908</v>
      </c>
      <c r="D408" s="3">
        <f>IF(ISNUMBER(C408), C408, DATE(RIGHT(C408, 4), MATCH(LEFT(C408, 3), {"Jan","Feb","Mar","Apr","May","Jun","Jul","Aug","Sep","Oct","Nov","Dec"}, 0), MID(C408, 5, 2)))</f>
        <v>45908</v>
      </c>
      <c r="E408" s="3" t="str">
        <f t="shared" si="31"/>
        <v>Sep</v>
      </c>
      <c r="F408" s="3" t="str">
        <f t="shared" si="32"/>
        <v>2025</v>
      </c>
      <c r="G408" s="4">
        <f t="shared" si="33"/>
        <v>9</v>
      </c>
      <c r="H408" s="3" t="str">
        <f t="shared" si="34"/>
        <v>Q-4</v>
      </c>
      <c r="I408" t="s">
        <v>76</v>
      </c>
      <c r="J408" t="s">
        <v>32</v>
      </c>
      <c r="K408">
        <v>2500</v>
      </c>
      <c r="L408" s="5">
        <v>6220</v>
      </c>
      <c r="M408">
        <v>3</v>
      </c>
      <c r="N408" t="s">
        <v>40</v>
      </c>
      <c r="O408" t="s">
        <v>506</v>
      </c>
      <c r="P408" t="s">
        <v>74</v>
      </c>
      <c r="Q408" s="5">
        <f>Table1[[#This Row],[Quantity]]*Table1[[#This Row],[Unit_Price]]</f>
        <v>15550000</v>
      </c>
      <c r="R408" t="str">
        <f>IF(Table1[[#This Row],[Delivery_Days]]&lt;=3,"Fast",IF(Table1[[#This Row],[Delivery_Days]]&lt;=7,"Normal","Late"))</f>
        <v>Fast</v>
      </c>
    </row>
    <row r="409" spans="1:18" x14ac:dyDescent="0.35">
      <c r="A409" t="s">
        <v>427</v>
      </c>
      <c r="B409" t="str">
        <f t="shared" si="30"/>
        <v>APX1108</v>
      </c>
      <c r="C409" s="3">
        <v>45760</v>
      </c>
      <c r="D409" s="3">
        <f>IF(ISNUMBER(C409), C409, DATE(RIGHT(C409, 4), MATCH(LEFT(C409, 3), {"Jan","Feb","Mar","Apr","May","Jun","Jul","Aug","Sep","Oct","Nov","Dec"}, 0), MID(C409, 5, 2)))</f>
        <v>45760</v>
      </c>
      <c r="E409" s="3" t="str">
        <f t="shared" si="31"/>
        <v>Apr</v>
      </c>
      <c r="F409" s="3" t="str">
        <f t="shared" si="32"/>
        <v>2025</v>
      </c>
      <c r="G409" s="4">
        <f t="shared" si="33"/>
        <v>4</v>
      </c>
      <c r="H409" s="3" t="str">
        <f t="shared" si="34"/>
        <v>Q-2</v>
      </c>
      <c r="I409" t="s">
        <v>76</v>
      </c>
      <c r="J409" t="s">
        <v>73</v>
      </c>
      <c r="K409">
        <v>12</v>
      </c>
      <c r="L409" s="5">
        <v>6500</v>
      </c>
      <c r="M409">
        <v>3</v>
      </c>
      <c r="N409" t="s">
        <v>40</v>
      </c>
      <c r="O409" t="s">
        <v>14</v>
      </c>
      <c r="P409" t="s">
        <v>42</v>
      </c>
      <c r="Q409" s="5">
        <f>Table1[[#This Row],[Quantity]]*Table1[[#This Row],[Unit_Price]]</f>
        <v>78000</v>
      </c>
      <c r="R409" t="str">
        <f>IF(Table1[[#This Row],[Delivery_Days]]&lt;=3,"Fast",IF(Table1[[#This Row],[Delivery_Days]]&lt;=7,"Normal","Late"))</f>
        <v>Fast</v>
      </c>
    </row>
    <row r="410" spans="1:18" x14ac:dyDescent="0.35">
      <c r="A410" t="s">
        <v>429</v>
      </c>
      <c r="B410" t="str">
        <f t="shared" si="30"/>
        <v>APX1426</v>
      </c>
      <c r="C410" s="3">
        <v>45979</v>
      </c>
      <c r="D410" s="3">
        <f>IF(ISNUMBER(C410), C410, DATE(RIGHT(C410, 4), MATCH(LEFT(C410, 3), {"Jan","Feb","Mar","Apr","May","Jun","Jul","Aug","Sep","Oct","Nov","Dec"}, 0), MID(C410, 5, 2)))</f>
        <v>45979</v>
      </c>
      <c r="E410" s="3" t="str">
        <f t="shared" si="31"/>
        <v>Nov</v>
      </c>
      <c r="F410" s="3" t="str">
        <f t="shared" si="32"/>
        <v>2025</v>
      </c>
      <c r="G410" s="4">
        <f t="shared" si="33"/>
        <v>11</v>
      </c>
      <c r="H410" s="3" t="str">
        <f t="shared" si="34"/>
        <v>Q-4</v>
      </c>
      <c r="I410" t="s">
        <v>502</v>
      </c>
      <c r="J410" t="s">
        <v>64</v>
      </c>
      <c r="K410">
        <v>2500</v>
      </c>
      <c r="L410" s="5">
        <v>15198</v>
      </c>
      <c r="M410">
        <v>4</v>
      </c>
      <c r="N410" t="s">
        <v>504</v>
      </c>
      <c r="O410" t="s">
        <v>506</v>
      </c>
      <c r="P410" t="s">
        <v>25</v>
      </c>
      <c r="Q410" s="5">
        <f>Table1[[#This Row],[Quantity]]*Table1[[#This Row],[Unit_Price]]</f>
        <v>37995000</v>
      </c>
      <c r="R410" t="str">
        <f>IF(Table1[[#This Row],[Delivery_Days]]&lt;=3,"Fast",IF(Table1[[#This Row],[Delivery_Days]]&lt;=7,"Normal","Late"))</f>
        <v>Normal</v>
      </c>
    </row>
    <row r="411" spans="1:18" x14ac:dyDescent="0.35">
      <c r="A411" t="s">
        <v>114</v>
      </c>
      <c r="B411" t="str">
        <f t="shared" si="30"/>
        <v>APX1261</v>
      </c>
      <c r="C411" s="3">
        <v>45742</v>
      </c>
      <c r="D411" s="3">
        <f>IF(ISNUMBER(C411), C411, DATE(RIGHT(C411, 4), MATCH(LEFT(C411, 3), {"Jan","Feb","Mar","Apr","May","Jun","Jul","Aug","Sep","Oct","Nov","Dec"}, 0), MID(C411, 5, 2)))</f>
        <v>45742</v>
      </c>
      <c r="E411" s="3" t="str">
        <f t="shared" si="31"/>
        <v>Mar</v>
      </c>
      <c r="F411" s="3" t="str">
        <f t="shared" si="32"/>
        <v>2025</v>
      </c>
      <c r="G411" s="4">
        <f t="shared" si="33"/>
        <v>3</v>
      </c>
      <c r="H411" s="3" t="str">
        <f t="shared" si="34"/>
        <v>Q-1</v>
      </c>
      <c r="I411" t="s">
        <v>510</v>
      </c>
      <c r="J411" t="s">
        <v>28</v>
      </c>
      <c r="K411">
        <v>30</v>
      </c>
      <c r="L411" s="5">
        <v>6500</v>
      </c>
      <c r="M411">
        <v>3</v>
      </c>
      <c r="N411" t="s">
        <v>70</v>
      </c>
      <c r="O411" t="s">
        <v>14</v>
      </c>
      <c r="P411" t="s">
        <v>15</v>
      </c>
      <c r="Q411" s="5">
        <f>Table1[[#This Row],[Quantity]]*Table1[[#This Row],[Unit_Price]]</f>
        <v>195000</v>
      </c>
      <c r="R411" t="str">
        <f>IF(Table1[[#This Row],[Delivery_Days]]&lt;=3,"Fast",IF(Table1[[#This Row],[Delivery_Days]]&lt;=7,"Normal","Late"))</f>
        <v>Fast</v>
      </c>
    </row>
    <row r="412" spans="1:18" x14ac:dyDescent="0.35">
      <c r="A412" t="s">
        <v>430</v>
      </c>
      <c r="B412" t="str">
        <f t="shared" si="30"/>
        <v>APX1121</v>
      </c>
      <c r="C412" s="3" t="s">
        <v>431</v>
      </c>
      <c r="D412" s="3">
        <f>IF(ISNUMBER(C412), C412, DATE(RIGHT(C412, 4), MATCH(LEFT(C412, 3), {"Jan","Feb","Mar","Apr","May","Jun","Jul","Aug","Sep","Oct","Nov","Dec"}, 0), MID(C412, 5, 2)))</f>
        <v>45692</v>
      </c>
      <c r="E412" s="3" t="str">
        <f t="shared" si="31"/>
        <v>Feb</v>
      </c>
      <c r="F412" s="3" t="str">
        <f t="shared" si="32"/>
        <v>2025</v>
      </c>
      <c r="G412" s="4">
        <f t="shared" si="33"/>
        <v>2</v>
      </c>
      <c r="H412" s="3" t="str">
        <f t="shared" si="34"/>
        <v>Q-1</v>
      </c>
      <c r="I412" t="s">
        <v>76</v>
      </c>
      <c r="J412" t="s">
        <v>89</v>
      </c>
      <c r="K412">
        <v>111</v>
      </c>
      <c r="L412" s="5">
        <v>23072</v>
      </c>
      <c r="M412">
        <v>95</v>
      </c>
      <c r="N412" t="s">
        <v>40</v>
      </c>
      <c r="O412" t="s">
        <v>506</v>
      </c>
      <c r="P412" t="s">
        <v>25</v>
      </c>
      <c r="Q412" s="5">
        <f>Table1[[#This Row],[Quantity]]*Table1[[#This Row],[Unit_Price]]</f>
        <v>2560992</v>
      </c>
      <c r="R412" t="str">
        <f>IF(Table1[[#This Row],[Delivery_Days]]&lt;=3,"Fast",IF(Table1[[#This Row],[Delivery_Days]]&lt;=7,"Normal","Late"))</f>
        <v>Late</v>
      </c>
    </row>
    <row r="413" spans="1:18" x14ac:dyDescent="0.35">
      <c r="A413" t="s">
        <v>308</v>
      </c>
      <c r="B413" t="str">
        <f t="shared" si="30"/>
        <v>APX1092</v>
      </c>
      <c r="C413" s="3">
        <v>45925</v>
      </c>
      <c r="D413" s="3">
        <f>IF(ISNUMBER(C413), C413, DATE(RIGHT(C413, 4), MATCH(LEFT(C413, 3), {"Jan","Feb","Mar","Apr","May","Jun","Jul","Aug","Sep","Oct","Nov","Dec"}, 0), MID(C413, 5, 2)))</f>
        <v>45925</v>
      </c>
      <c r="E413" s="3" t="str">
        <f t="shared" si="31"/>
        <v>Sep</v>
      </c>
      <c r="F413" s="3" t="str">
        <f t="shared" si="32"/>
        <v>2025</v>
      </c>
      <c r="G413" s="4">
        <f t="shared" si="33"/>
        <v>9</v>
      </c>
      <c r="H413" s="3" t="str">
        <f t="shared" si="34"/>
        <v>Q-4</v>
      </c>
      <c r="I413" t="s">
        <v>76</v>
      </c>
      <c r="J413" t="s">
        <v>64</v>
      </c>
      <c r="K413">
        <v>2500</v>
      </c>
      <c r="L413" s="5">
        <v>800</v>
      </c>
      <c r="M413">
        <v>4</v>
      </c>
      <c r="N413" t="s">
        <v>70</v>
      </c>
      <c r="O413" t="s">
        <v>14</v>
      </c>
      <c r="P413" t="s">
        <v>25</v>
      </c>
      <c r="Q413" s="5">
        <f>Table1[[#This Row],[Quantity]]*Table1[[#This Row],[Unit_Price]]</f>
        <v>2000000</v>
      </c>
      <c r="R413" t="str">
        <f>IF(Table1[[#This Row],[Delivery_Days]]&lt;=3,"Fast",IF(Table1[[#This Row],[Delivery_Days]]&lt;=7,"Normal","Late"))</f>
        <v>Normal</v>
      </c>
    </row>
    <row r="414" spans="1:18" x14ac:dyDescent="0.35">
      <c r="A414" t="s">
        <v>433</v>
      </c>
      <c r="B414" t="str">
        <f t="shared" si="30"/>
        <v>APX1162</v>
      </c>
      <c r="C414" s="3">
        <v>46003</v>
      </c>
      <c r="D414" s="3">
        <f>IF(ISNUMBER(C414), C414, DATE(RIGHT(C414, 4), MATCH(LEFT(C414, 3), {"Jan","Feb","Mar","Apr","May","Jun","Jul","Aug","Sep","Oct","Nov","Dec"}, 0), MID(C414, 5, 2)))</f>
        <v>46003</v>
      </c>
      <c r="E414" s="3" t="str">
        <f t="shared" si="31"/>
        <v>Dec</v>
      </c>
      <c r="F414" s="3" t="str">
        <f t="shared" si="32"/>
        <v>2025</v>
      </c>
      <c r="G414" s="4">
        <f t="shared" si="33"/>
        <v>12</v>
      </c>
      <c r="H414" s="3" t="str">
        <f t="shared" si="34"/>
        <v>Q-4</v>
      </c>
      <c r="I414" t="s">
        <v>502</v>
      </c>
      <c r="J414" t="s">
        <v>32</v>
      </c>
      <c r="K414">
        <v>30</v>
      </c>
      <c r="L414" s="5">
        <v>6500</v>
      </c>
      <c r="M414">
        <v>95</v>
      </c>
      <c r="N414" t="s">
        <v>40</v>
      </c>
      <c r="O414" t="s">
        <v>506</v>
      </c>
      <c r="P414" t="s">
        <v>25</v>
      </c>
      <c r="Q414" s="5">
        <f>Table1[[#This Row],[Quantity]]*Table1[[#This Row],[Unit_Price]]</f>
        <v>195000</v>
      </c>
      <c r="R414" t="str">
        <f>IF(Table1[[#This Row],[Delivery_Days]]&lt;=3,"Fast",IF(Table1[[#This Row],[Delivery_Days]]&lt;=7,"Normal","Late"))</f>
        <v>Late</v>
      </c>
    </row>
    <row r="415" spans="1:18" x14ac:dyDescent="0.35">
      <c r="A415" t="s">
        <v>159</v>
      </c>
      <c r="B415" t="str">
        <f t="shared" si="30"/>
        <v>APX1281</v>
      </c>
      <c r="C415" s="3" t="s">
        <v>434</v>
      </c>
      <c r="D415" s="3">
        <f>IF(ISNUMBER(C415), C415, DATE(RIGHT(C415, 4), MATCH(LEFT(C415, 3), {"Jan","Feb","Mar","Apr","May","Jun","Jul","Aug","Sep","Oct","Nov","Dec"}, 0), MID(C415, 5, 2)))</f>
        <v>45666</v>
      </c>
      <c r="E415" s="3" t="str">
        <f t="shared" si="31"/>
        <v>Jan</v>
      </c>
      <c r="F415" s="3" t="str">
        <f t="shared" si="32"/>
        <v>2025</v>
      </c>
      <c r="G415" s="4">
        <f t="shared" si="33"/>
        <v>1</v>
      </c>
      <c r="H415" s="3" t="str">
        <f t="shared" si="34"/>
        <v>Q-1</v>
      </c>
      <c r="I415" t="s">
        <v>502</v>
      </c>
      <c r="J415" t="s">
        <v>32</v>
      </c>
      <c r="K415">
        <v>30</v>
      </c>
      <c r="L415" s="5">
        <v>800</v>
      </c>
      <c r="M415">
        <v>6</v>
      </c>
      <c r="N415" t="s">
        <v>40</v>
      </c>
      <c r="O415" t="s">
        <v>506</v>
      </c>
      <c r="P415" t="s">
        <v>25</v>
      </c>
      <c r="Q415" s="5">
        <f>Table1[[#This Row],[Quantity]]*Table1[[#This Row],[Unit_Price]]</f>
        <v>24000</v>
      </c>
      <c r="R415" t="str">
        <f>IF(Table1[[#This Row],[Delivery_Days]]&lt;=3,"Fast",IF(Table1[[#This Row],[Delivery_Days]]&lt;=7,"Normal","Late"))</f>
        <v>Normal</v>
      </c>
    </row>
    <row r="416" spans="1:18" x14ac:dyDescent="0.35">
      <c r="A416" t="s">
        <v>435</v>
      </c>
      <c r="B416" t="str">
        <f t="shared" si="30"/>
        <v>APX1025</v>
      </c>
      <c r="C416" s="3">
        <v>45767</v>
      </c>
      <c r="D416" s="3">
        <f>IF(ISNUMBER(C416), C416, DATE(RIGHT(C416, 4), MATCH(LEFT(C416, 3), {"Jan","Feb","Mar","Apr","May","Jun","Jul","Aug","Sep","Oct","Nov","Dec"}, 0), MID(C416, 5, 2)))</f>
        <v>45767</v>
      </c>
      <c r="E416" s="3" t="str">
        <f t="shared" si="31"/>
        <v>Apr</v>
      </c>
      <c r="F416" s="3" t="str">
        <f t="shared" si="32"/>
        <v>2025</v>
      </c>
      <c r="G416" s="4">
        <f t="shared" si="33"/>
        <v>4</v>
      </c>
      <c r="H416" s="3" t="str">
        <f t="shared" si="34"/>
        <v>Q-2</v>
      </c>
      <c r="I416" t="s">
        <v>503</v>
      </c>
      <c r="J416" t="s">
        <v>64</v>
      </c>
      <c r="K416">
        <v>200</v>
      </c>
      <c r="L416" s="5">
        <v>800</v>
      </c>
      <c r="M416">
        <v>95</v>
      </c>
      <c r="N416" t="s">
        <v>40</v>
      </c>
      <c r="O416" t="s">
        <v>506</v>
      </c>
      <c r="P416" t="s">
        <v>15</v>
      </c>
      <c r="Q416" s="5">
        <f>Table1[[#This Row],[Quantity]]*Table1[[#This Row],[Unit_Price]]</f>
        <v>160000</v>
      </c>
      <c r="R416" t="str">
        <f>IF(Table1[[#This Row],[Delivery_Days]]&lt;=3,"Fast",IF(Table1[[#This Row],[Delivery_Days]]&lt;=7,"Normal","Late"))</f>
        <v>Late</v>
      </c>
    </row>
    <row r="417" spans="1:18" x14ac:dyDescent="0.35">
      <c r="A417" t="s">
        <v>294</v>
      </c>
      <c r="B417" t="str">
        <f t="shared" si="30"/>
        <v>APX1220</v>
      </c>
      <c r="C417" s="3">
        <v>45828</v>
      </c>
      <c r="D417" s="3">
        <f>IF(ISNUMBER(C417), C417, DATE(RIGHT(C417, 4), MATCH(LEFT(C417, 3), {"Jan","Feb","Mar","Apr","May","Jun","Jul","Aug","Sep","Oct","Nov","Dec"}, 0), MID(C417, 5, 2)))</f>
        <v>45828</v>
      </c>
      <c r="E417" s="3" t="str">
        <f t="shared" si="31"/>
        <v>Jun</v>
      </c>
      <c r="F417" s="3" t="str">
        <f t="shared" si="32"/>
        <v>2025</v>
      </c>
      <c r="G417" s="4">
        <f t="shared" si="33"/>
        <v>6</v>
      </c>
      <c r="H417" s="3" t="str">
        <f t="shared" si="34"/>
        <v>Q-2</v>
      </c>
      <c r="I417" t="s">
        <v>503</v>
      </c>
      <c r="J417" t="s">
        <v>32</v>
      </c>
      <c r="K417">
        <v>30</v>
      </c>
      <c r="L417" s="5">
        <v>800</v>
      </c>
      <c r="M417">
        <v>3</v>
      </c>
      <c r="N417" t="s">
        <v>504</v>
      </c>
      <c r="O417" t="s">
        <v>14</v>
      </c>
      <c r="P417" t="s">
        <v>25</v>
      </c>
      <c r="Q417" s="5">
        <f>Table1[[#This Row],[Quantity]]*Table1[[#This Row],[Unit_Price]]</f>
        <v>24000</v>
      </c>
      <c r="R417" t="str">
        <f>IF(Table1[[#This Row],[Delivery_Days]]&lt;=3,"Fast",IF(Table1[[#This Row],[Delivery_Days]]&lt;=7,"Normal","Late"))</f>
        <v>Fast</v>
      </c>
    </row>
    <row r="418" spans="1:18" x14ac:dyDescent="0.35">
      <c r="A418" t="s">
        <v>102</v>
      </c>
      <c r="B418" t="str">
        <f t="shared" si="30"/>
        <v>APX1358</v>
      </c>
      <c r="C418" s="3" t="s">
        <v>437</v>
      </c>
      <c r="D418" s="3">
        <f>IF(ISNUMBER(C418), C418, DATE(RIGHT(C418, 4), MATCH(LEFT(C418, 3), {"Jan","Feb","Mar","Apr","May","Jun","Jul","Aug","Sep","Oct","Nov","Dec"}, 0), MID(C418, 5, 2)))</f>
        <v>45890</v>
      </c>
      <c r="E418" s="3" t="str">
        <f t="shared" si="31"/>
        <v>Aug</v>
      </c>
      <c r="F418" s="3" t="str">
        <f t="shared" si="32"/>
        <v>2025</v>
      </c>
      <c r="G418" s="4">
        <f t="shared" si="33"/>
        <v>8</v>
      </c>
      <c r="H418" s="3" t="str">
        <f t="shared" si="34"/>
        <v>Q-3</v>
      </c>
      <c r="I418" t="s">
        <v>502</v>
      </c>
      <c r="J418" t="s">
        <v>64</v>
      </c>
      <c r="K418">
        <v>30</v>
      </c>
      <c r="L418" s="5">
        <v>4500</v>
      </c>
      <c r="M418">
        <v>95</v>
      </c>
      <c r="N418" t="s">
        <v>70</v>
      </c>
      <c r="O418" t="s">
        <v>506</v>
      </c>
      <c r="P418" t="s">
        <v>25</v>
      </c>
      <c r="Q418" s="5">
        <f>Table1[[#This Row],[Quantity]]*Table1[[#This Row],[Unit_Price]]</f>
        <v>135000</v>
      </c>
      <c r="R418" t="str">
        <f>IF(Table1[[#This Row],[Delivery_Days]]&lt;=3,"Fast",IF(Table1[[#This Row],[Delivery_Days]]&lt;=7,"Normal","Late"))</f>
        <v>Late</v>
      </c>
    </row>
    <row r="419" spans="1:18" x14ac:dyDescent="0.35">
      <c r="A419" t="s">
        <v>234</v>
      </c>
      <c r="B419" t="str">
        <f t="shared" si="30"/>
        <v>APX1380</v>
      </c>
      <c r="C419" s="3">
        <v>45765</v>
      </c>
      <c r="D419" s="3">
        <f>IF(ISNUMBER(C419), C419, DATE(RIGHT(C419, 4), MATCH(LEFT(C419, 3), {"Jan","Feb","Mar","Apr","May","Jun","Jul","Aug","Sep","Oct","Nov","Dec"}, 0), MID(C419, 5, 2)))</f>
        <v>45765</v>
      </c>
      <c r="E419" s="3" t="str">
        <f t="shared" si="31"/>
        <v>Apr</v>
      </c>
      <c r="F419" s="3" t="str">
        <f t="shared" si="32"/>
        <v>2025</v>
      </c>
      <c r="G419" s="4">
        <f t="shared" si="33"/>
        <v>4</v>
      </c>
      <c r="H419" s="3" t="str">
        <f t="shared" si="34"/>
        <v>Q-2</v>
      </c>
      <c r="I419" t="s">
        <v>503</v>
      </c>
      <c r="J419" t="s">
        <v>39</v>
      </c>
      <c r="K419">
        <v>2500</v>
      </c>
      <c r="L419" s="5">
        <v>4500</v>
      </c>
      <c r="M419">
        <v>95</v>
      </c>
      <c r="N419" t="s">
        <v>70</v>
      </c>
      <c r="O419" t="s">
        <v>506</v>
      </c>
      <c r="P419" t="s">
        <v>25</v>
      </c>
      <c r="Q419" s="5">
        <f>Table1[[#This Row],[Quantity]]*Table1[[#This Row],[Unit_Price]]</f>
        <v>11250000</v>
      </c>
      <c r="R419" t="str">
        <f>IF(Table1[[#This Row],[Delivery_Days]]&lt;=3,"Fast",IF(Table1[[#This Row],[Delivery_Days]]&lt;=7,"Normal","Late"))</f>
        <v>Late</v>
      </c>
    </row>
    <row r="420" spans="1:18" x14ac:dyDescent="0.35">
      <c r="A420" t="s">
        <v>439</v>
      </c>
      <c r="B420" t="str">
        <f t="shared" si="30"/>
        <v>APX1139</v>
      </c>
      <c r="C420" s="3">
        <v>45966</v>
      </c>
      <c r="D420" s="3">
        <f>IF(ISNUMBER(C420), C420, DATE(RIGHT(C420, 4), MATCH(LEFT(C420, 3), {"Jan","Feb","Mar","Apr","May","Jun","Jul","Aug","Sep","Oct","Nov","Dec"}, 0), MID(C420, 5, 2)))</f>
        <v>45966</v>
      </c>
      <c r="E420" s="3" t="str">
        <f t="shared" si="31"/>
        <v>Nov</v>
      </c>
      <c r="F420" s="3" t="str">
        <f t="shared" si="32"/>
        <v>2025</v>
      </c>
      <c r="G420" s="4">
        <f t="shared" si="33"/>
        <v>11</v>
      </c>
      <c r="H420" s="3" t="str">
        <f t="shared" si="34"/>
        <v>Q-4</v>
      </c>
      <c r="I420" t="s">
        <v>510</v>
      </c>
      <c r="J420" t="s">
        <v>28</v>
      </c>
      <c r="K420">
        <v>30</v>
      </c>
      <c r="L420" s="5">
        <v>39988</v>
      </c>
      <c r="M420">
        <v>6</v>
      </c>
      <c r="N420" t="s">
        <v>504</v>
      </c>
      <c r="O420" t="s">
        <v>46</v>
      </c>
      <c r="P420" t="s">
        <v>42</v>
      </c>
      <c r="Q420" s="5">
        <f>Table1[[#This Row],[Quantity]]*Table1[[#This Row],[Unit_Price]]</f>
        <v>1199640</v>
      </c>
      <c r="R420" t="str">
        <f>IF(Table1[[#This Row],[Delivery_Days]]&lt;=3,"Fast",IF(Table1[[#This Row],[Delivery_Days]]&lt;=7,"Normal","Late"))</f>
        <v>Normal</v>
      </c>
    </row>
    <row r="421" spans="1:18" x14ac:dyDescent="0.35">
      <c r="A421" t="s">
        <v>225</v>
      </c>
      <c r="B421" t="str">
        <f t="shared" si="30"/>
        <v>APX1135</v>
      </c>
      <c r="C421" s="3">
        <v>45882</v>
      </c>
      <c r="D421" s="3">
        <f>IF(ISNUMBER(C421), C421, DATE(RIGHT(C421, 4), MATCH(LEFT(C421, 3), {"Jan","Feb","Mar","Apr","May","Jun","Jul","Aug","Sep","Oct","Nov","Dec"}, 0), MID(C421, 5, 2)))</f>
        <v>45882</v>
      </c>
      <c r="E421" s="3" t="str">
        <f t="shared" si="31"/>
        <v>Aug</v>
      </c>
      <c r="F421" s="3" t="str">
        <f t="shared" si="32"/>
        <v>2025</v>
      </c>
      <c r="G421" s="4">
        <f t="shared" si="33"/>
        <v>8</v>
      </c>
      <c r="H421" s="3" t="str">
        <f t="shared" si="34"/>
        <v>Q-3</v>
      </c>
      <c r="I421" t="s">
        <v>503</v>
      </c>
      <c r="J421" t="s">
        <v>39</v>
      </c>
      <c r="K421">
        <v>12</v>
      </c>
      <c r="L421" s="5">
        <v>800</v>
      </c>
      <c r="M421">
        <v>6</v>
      </c>
      <c r="N421" t="s">
        <v>40</v>
      </c>
      <c r="O421" t="s">
        <v>506</v>
      </c>
      <c r="P421" t="s">
        <v>25</v>
      </c>
      <c r="Q421" s="5">
        <f>Table1[[#This Row],[Quantity]]*Table1[[#This Row],[Unit_Price]]</f>
        <v>9600</v>
      </c>
      <c r="R421" t="str">
        <f>IF(Table1[[#This Row],[Delivery_Days]]&lt;=3,"Fast",IF(Table1[[#This Row],[Delivery_Days]]&lt;=7,"Normal","Late"))</f>
        <v>Normal</v>
      </c>
    </row>
    <row r="422" spans="1:18" x14ac:dyDescent="0.35">
      <c r="A422" t="s">
        <v>294</v>
      </c>
      <c r="B422" t="str">
        <f t="shared" si="30"/>
        <v>APX1220</v>
      </c>
      <c r="C422" s="3">
        <v>45822</v>
      </c>
      <c r="D422" s="3">
        <f>IF(ISNUMBER(C422), C422, DATE(RIGHT(C422, 4), MATCH(LEFT(C422, 3), {"Jan","Feb","Mar","Apr","May","Jun","Jul","Aug","Sep","Oct","Nov","Dec"}, 0), MID(C422, 5, 2)))</f>
        <v>45822</v>
      </c>
      <c r="E422" s="3" t="str">
        <f t="shared" si="31"/>
        <v>Jun</v>
      </c>
      <c r="F422" s="3" t="str">
        <f t="shared" si="32"/>
        <v>2025</v>
      </c>
      <c r="G422" s="4">
        <f t="shared" si="33"/>
        <v>6</v>
      </c>
      <c r="H422" s="3" t="str">
        <f t="shared" si="34"/>
        <v>Q-2</v>
      </c>
      <c r="I422" t="s">
        <v>76</v>
      </c>
      <c r="J422" t="s">
        <v>32</v>
      </c>
      <c r="K422">
        <v>116</v>
      </c>
      <c r="L422" s="5">
        <v>850000</v>
      </c>
      <c r="M422">
        <v>95</v>
      </c>
      <c r="N422" t="s">
        <v>40</v>
      </c>
      <c r="O422" t="s">
        <v>46</v>
      </c>
      <c r="P422" t="s">
        <v>15</v>
      </c>
      <c r="Q422" s="5">
        <f>Table1[[#This Row],[Quantity]]*Table1[[#This Row],[Unit_Price]]</f>
        <v>98600000</v>
      </c>
      <c r="R422" t="str">
        <f>IF(Table1[[#This Row],[Delivery_Days]]&lt;=3,"Fast",IF(Table1[[#This Row],[Delivery_Days]]&lt;=7,"Normal","Late"))</f>
        <v>Late</v>
      </c>
    </row>
    <row r="423" spans="1:18" x14ac:dyDescent="0.35">
      <c r="A423" t="s">
        <v>440</v>
      </c>
      <c r="B423" t="str">
        <f t="shared" si="30"/>
        <v>APX1420</v>
      </c>
      <c r="C423" s="3" t="s">
        <v>441</v>
      </c>
      <c r="D423" s="3">
        <f>IF(ISNUMBER(C423), C423, DATE(RIGHT(C423, 4), MATCH(LEFT(C423, 3), {"Jan","Feb","Mar","Apr","May","Jun","Jul","Aug","Sep","Oct","Nov","Dec"}, 0), MID(C423, 5, 2)))</f>
        <v>45775</v>
      </c>
      <c r="E423" s="3" t="str">
        <f t="shared" si="31"/>
        <v>Apr</v>
      </c>
      <c r="F423" s="3" t="str">
        <f t="shared" si="32"/>
        <v>2025</v>
      </c>
      <c r="G423" s="4">
        <f t="shared" si="33"/>
        <v>4</v>
      </c>
      <c r="H423" s="3" t="str">
        <f t="shared" si="34"/>
        <v>Q-2</v>
      </c>
      <c r="I423" t="s">
        <v>17</v>
      </c>
      <c r="J423" t="s">
        <v>32</v>
      </c>
      <c r="K423">
        <v>12</v>
      </c>
      <c r="L423" s="5">
        <v>800</v>
      </c>
      <c r="M423">
        <v>3</v>
      </c>
      <c r="N423" t="s">
        <v>40</v>
      </c>
      <c r="O423" t="s">
        <v>506</v>
      </c>
      <c r="P423" t="s">
        <v>42</v>
      </c>
      <c r="Q423" s="5">
        <f>Table1[[#This Row],[Quantity]]*Table1[[#This Row],[Unit_Price]]</f>
        <v>9600</v>
      </c>
      <c r="R423" t="str">
        <f>IF(Table1[[#This Row],[Delivery_Days]]&lt;=3,"Fast",IF(Table1[[#This Row],[Delivery_Days]]&lt;=7,"Normal","Late"))</f>
        <v>Fast</v>
      </c>
    </row>
    <row r="424" spans="1:18" x14ac:dyDescent="0.35">
      <c r="A424" t="s">
        <v>392</v>
      </c>
      <c r="B424" t="str">
        <f t="shared" si="30"/>
        <v>APX1038</v>
      </c>
      <c r="C424" s="3" t="s">
        <v>277</v>
      </c>
      <c r="D424" s="3">
        <f>IF(ISNUMBER(C424), C424, DATE(RIGHT(C424, 4), MATCH(LEFT(C424, 3), {"Jan","Feb","Mar","Apr","May","Jun","Jul","Aug","Sep","Oct","Nov","Dec"}, 0), MID(C424, 5, 2)))</f>
        <v>45964</v>
      </c>
      <c r="E424" s="3" t="str">
        <f t="shared" si="31"/>
        <v>Nov</v>
      </c>
      <c r="F424" s="3" t="str">
        <f t="shared" si="32"/>
        <v>2025</v>
      </c>
      <c r="G424" s="4">
        <f t="shared" si="33"/>
        <v>11</v>
      </c>
      <c r="H424" s="3" t="str">
        <f t="shared" si="34"/>
        <v>Q-4</v>
      </c>
      <c r="I424" t="s">
        <v>17</v>
      </c>
      <c r="J424" t="s">
        <v>32</v>
      </c>
      <c r="K424">
        <v>190</v>
      </c>
      <c r="L424" s="5">
        <v>6500</v>
      </c>
      <c r="M424">
        <v>12</v>
      </c>
      <c r="N424" t="s">
        <v>40</v>
      </c>
      <c r="O424" t="s">
        <v>506</v>
      </c>
      <c r="P424" t="s">
        <v>74</v>
      </c>
      <c r="Q424" s="5">
        <f>Table1[[#This Row],[Quantity]]*Table1[[#This Row],[Unit_Price]]</f>
        <v>1235000</v>
      </c>
      <c r="R424" t="str">
        <f>IF(Table1[[#This Row],[Delivery_Days]]&lt;=3,"Fast",IF(Table1[[#This Row],[Delivery_Days]]&lt;=7,"Normal","Late"))</f>
        <v>Late</v>
      </c>
    </row>
    <row r="425" spans="1:18" x14ac:dyDescent="0.35">
      <c r="A425" t="s">
        <v>358</v>
      </c>
      <c r="B425" t="str">
        <f t="shared" si="30"/>
        <v>APX1099</v>
      </c>
      <c r="C425" s="3">
        <v>45915</v>
      </c>
      <c r="D425" s="3">
        <f>IF(ISNUMBER(C425), C425, DATE(RIGHT(C425, 4), MATCH(LEFT(C425, 3), {"Jan","Feb","Mar","Apr","May","Jun","Jul","Aug","Sep","Oct","Nov","Dec"}, 0), MID(C425, 5, 2)))</f>
        <v>45915</v>
      </c>
      <c r="E425" s="3" t="str">
        <f t="shared" si="31"/>
        <v>Sep</v>
      </c>
      <c r="F425" s="3" t="str">
        <f t="shared" si="32"/>
        <v>2025</v>
      </c>
      <c r="G425" s="4">
        <f t="shared" si="33"/>
        <v>9</v>
      </c>
      <c r="H425" s="3" t="str">
        <f t="shared" si="34"/>
        <v>Q-4</v>
      </c>
      <c r="I425" t="s">
        <v>503</v>
      </c>
      <c r="J425" t="s">
        <v>32</v>
      </c>
      <c r="K425">
        <v>30</v>
      </c>
      <c r="L425" s="5">
        <v>11580</v>
      </c>
      <c r="M425">
        <v>1</v>
      </c>
      <c r="N425" t="s">
        <v>70</v>
      </c>
      <c r="O425" t="s">
        <v>14</v>
      </c>
      <c r="P425" t="s">
        <v>25</v>
      </c>
      <c r="Q425" s="5">
        <f>Table1[[#This Row],[Quantity]]*Table1[[#This Row],[Unit_Price]]</f>
        <v>347400</v>
      </c>
      <c r="R425" t="str">
        <f>IF(Table1[[#This Row],[Delivery_Days]]&lt;=3,"Fast",IF(Table1[[#This Row],[Delivery_Days]]&lt;=7,"Normal","Late"))</f>
        <v>Fast</v>
      </c>
    </row>
    <row r="426" spans="1:18" x14ac:dyDescent="0.35">
      <c r="A426" t="s">
        <v>286</v>
      </c>
      <c r="B426" t="str">
        <f t="shared" si="30"/>
        <v>APX1315</v>
      </c>
      <c r="C426" s="3">
        <v>45762</v>
      </c>
      <c r="D426" s="3">
        <f>IF(ISNUMBER(C426), C426, DATE(RIGHT(C426, 4), MATCH(LEFT(C426, 3), {"Jan","Feb","Mar","Apr","May","Jun","Jul","Aug","Sep","Oct","Nov","Dec"}, 0), MID(C426, 5, 2)))</f>
        <v>45762</v>
      </c>
      <c r="E426" s="3" t="str">
        <f t="shared" si="31"/>
        <v>Apr</v>
      </c>
      <c r="F426" s="3" t="str">
        <f t="shared" si="32"/>
        <v>2025</v>
      </c>
      <c r="G426" s="4">
        <f t="shared" si="33"/>
        <v>4</v>
      </c>
      <c r="H426" s="3" t="str">
        <f t="shared" si="34"/>
        <v>Q-2</v>
      </c>
      <c r="I426" t="s">
        <v>502</v>
      </c>
      <c r="J426" t="s">
        <v>39</v>
      </c>
      <c r="K426">
        <v>12</v>
      </c>
      <c r="L426" s="5">
        <v>800</v>
      </c>
      <c r="M426">
        <v>3</v>
      </c>
      <c r="N426" t="s">
        <v>505</v>
      </c>
      <c r="O426" t="s">
        <v>506</v>
      </c>
      <c r="P426" t="s">
        <v>15</v>
      </c>
      <c r="Q426" s="5">
        <f>Table1[[#This Row],[Quantity]]*Table1[[#This Row],[Unit_Price]]</f>
        <v>9600</v>
      </c>
      <c r="R426" t="str">
        <f>IF(Table1[[#This Row],[Delivery_Days]]&lt;=3,"Fast",IF(Table1[[#This Row],[Delivery_Days]]&lt;=7,"Normal","Late"))</f>
        <v>Fast</v>
      </c>
    </row>
    <row r="427" spans="1:18" x14ac:dyDescent="0.35">
      <c r="A427" t="s">
        <v>207</v>
      </c>
      <c r="B427" t="str">
        <f t="shared" si="30"/>
        <v>APX1199</v>
      </c>
      <c r="C427" s="3">
        <v>45760</v>
      </c>
      <c r="D427" s="3">
        <f>IF(ISNUMBER(C427), C427, DATE(RIGHT(C427, 4), MATCH(LEFT(C427, 3), {"Jan","Feb","Mar","Apr","May","Jun","Jul","Aug","Sep","Oct","Nov","Dec"}, 0), MID(C427, 5, 2)))</f>
        <v>45760</v>
      </c>
      <c r="E427" s="3" t="str">
        <f t="shared" si="31"/>
        <v>Apr</v>
      </c>
      <c r="F427" s="3" t="str">
        <f t="shared" si="32"/>
        <v>2025</v>
      </c>
      <c r="G427" s="4">
        <f t="shared" si="33"/>
        <v>4</v>
      </c>
      <c r="H427" s="3" t="str">
        <f t="shared" si="34"/>
        <v>Q-2</v>
      </c>
      <c r="I427" t="s">
        <v>76</v>
      </c>
      <c r="J427" t="s">
        <v>32</v>
      </c>
      <c r="K427">
        <v>12</v>
      </c>
      <c r="L427" s="5">
        <v>6500</v>
      </c>
      <c r="M427">
        <v>2</v>
      </c>
      <c r="N427" t="s">
        <v>40</v>
      </c>
      <c r="O427" t="s">
        <v>14</v>
      </c>
      <c r="P427" t="s">
        <v>25</v>
      </c>
      <c r="Q427" s="5">
        <f>Table1[[#This Row],[Quantity]]*Table1[[#This Row],[Unit_Price]]</f>
        <v>78000</v>
      </c>
      <c r="R427" t="str">
        <f>IF(Table1[[#This Row],[Delivery_Days]]&lt;=3,"Fast",IF(Table1[[#This Row],[Delivery_Days]]&lt;=7,"Normal","Late"))</f>
        <v>Fast</v>
      </c>
    </row>
    <row r="428" spans="1:18" x14ac:dyDescent="0.35">
      <c r="A428" t="s">
        <v>79</v>
      </c>
      <c r="B428" t="str">
        <f t="shared" si="30"/>
        <v>APX1393</v>
      </c>
      <c r="C428" s="3">
        <v>45915</v>
      </c>
      <c r="D428" s="3">
        <f>IF(ISNUMBER(C428), C428, DATE(RIGHT(C428, 4), MATCH(LEFT(C428, 3), {"Jan","Feb","Mar","Apr","May","Jun","Jul","Aug","Sep","Oct","Nov","Dec"}, 0), MID(C428, 5, 2)))</f>
        <v>45915</v>
      </c>
      <c r="E428" s="3" t="str">
        <f t="shared" si="31"/>
        <v>Sep</v>
      </c>
      <c r="F428" s="3" t="str">
        <f t="shared" si="32"/>
        <v>2025</v>
      </c>
      <c r="G428" s="4">
        <f t="shared" si="33"/>
        <v>9</v>
      </c>
      <c r="H428" s="3" t="str">
        <f t="shared" si="34"/>
        <v>Q-4</v>
      </c>
      <c r="I428" t="s">
        <v>510</v>
      </c>
      <c r="J428" t="s">
        <v>73</v>
      </c>
      <c r="K428">
        <v>12</v>
      </c>
      <c r="L428" s="5">
        <v>850000</v>
      </c>
      <c r="M428">
        <v>2</v>
      </c>
      <c r="N428" t="s">
        <v>504</v>
      </c>
      <c r="O428" t="s">
        <v>506</v>
      </c>
      <c r="P428" t="s">
        <v>15</v>
      </c>
      <c r="Q428" s="5">
        <f>Table1[[#This Row],[Quantity]]*Table1[[#This Row],[Unit_Price]]</f>
        <v>10200000</v>
      </c>
      <c r="R428" t="str">
        <f>IF(Table1[[#This Row],[Delivery_Days]]&lt;=3,"Fast",IF(Table1[[#This Row],[Delivery_Days]]&lt;=7,"Normal","Late"))</f>
        <v>Fast</v>
      </c>
    </row>
    <row r="429" spans="1:18" x14ac:dyDescent="0.35">
      <c r="A429" t="s">
        <v>254</v>
      </c>
      <c r="B429" t="str">
        <f t="shared" si="30"/>
        <v>APX1039</v>
      </c>
      <c r="C429" s="3">
        <v>45948</v>
      </c>
      <c r="D429" s="3">
        <f>IF(ISNUMBER(C429), C429, DATE(RIGHT(C429, 4), MATCH(LEFT(C429, 3), {"Jan","Feb","Mar","Apr","May","Jun","Jul","Aug","Sep","Oct","Nov","Dec"}, 0), MID(C429, 5, 2)))</f>
        <v>45948</v>
      </c>
      <c r="E429" s="3" t="str">
        <f t="shared" si="31"/>
        <v>Oct</v>
      </c>
      <c r="F429" s="3" t="str">
        <f t="shared" si="32"/>
        <v>2025</v>
      </c>
      <c r="G429" s="4">
        <f t="shared" si="33"/>
        <v>10</v>
      </c>
      <c r="H429" s="3" t="str">
        <f t="shared" si="34"/>
        <v>Q-4</v>
      </c>
      <c r="I429" t="s">
        <v>11</v>
      </c>
      <c r="J429" t="s">
        <v>64</v>
      </c>
      <c r="K429">
        <v>2500</v>
      </c>
      <c r="L429" s="5">
        <v>6500</v>
      </c>
      <c r="M429">
        <v>95</v>
      </c>
      <c r="N429" t="s">
        <v>40</v>
      </c>
      <c r="O429" t="s">
        <v>506</v>
      </c>
      <c r="P429" t="s">
        <v>25</v>
      </c>
      <c r="Q429" s="5">
        <f>Table1[[#This Row],[Quantity]]*Table1[[#This Row],[Unit_Price]]</f>
        <v>16250000</v>
      </c>
      <c r="R429" t="str">
        <f>IF(Table1[[#This Row],[Delivery_Days]]&lt;=3,"Fast",IF(Table1[[#This Row],[Delivery_Days]]&lt;=7,"Normal","Late"))</f>
        <v>Late</v>
      </c>
    </row>
    <row r="430" spans="1:18" x14ac:dyDescent="0.35">
      <c r="A430" t="s">
        <v>442</v>
      </c>
      <c r="B430" t="str">
        <f t="shared" si="30"/>
        <v>APX1030</v>
      </c>
      <c r="C430" s="3">
        <v>45860</v>
      </c>
      <c r="D430" s="3">
        <f>IF(ISNUMBER(C430), C430, DATE(RIGHT(C430, 4), MATCH(LEFT(C430, 3), {"Jan","Feb","Mar","Apr","May","Jun","Jul","Aug","Sep","Oct","Nov","Dec"}, 0), MID(C430, 5, 2)))</f>
        <v>45860</v>
      </c>
      <c r="E430" s="3" t="str">
        <f t="shared" si="31"/>
        <v>Jul</v>
      </c>
      <c r="F430" s="3" t="str">
        <f t="shared" si="32"/>
        <v>2025</v>
      </c>
      <c r="G430" s="4">
        <f t="shared" si="33"/>
        <v>7</v>
      </c>
      <c r="H430" s="3" t="str">
        <f t="shared" si="34"/>
        <v>Q-3</v>
      </c>
      <c r="I430" t="s">
        <v>503</v>
      </c>
      <c r="J430" t="s">
        <v>39</v>
      </c>
      <c r="K430">
        <v>2500</v>
      </c>
      <c r="L430" s="5">
        <v>4500</v>
      </c>
      <c r="M430">
        <v>11</v>
      </c>
      <c r="N430" t="s">
        <v>560</v>
      </c>
      <c r="O430" t="s">
        <v>506</v>
      </c>
      <c r="P430" t="s">
        <v>74</v>
      </c>
      <c r="Q430" s="5">
        <f>Table1[[#This Row],[Quantity]]*Table1[[#This Row],[Unit_Price]]</f>
        <v>11250000</v>
      </c>
      <c r="R430" t="str">
        <f>IF(Table1[[#This Row],[Delivery_Days]]&lt;=3,"Fast",IF(Table1[[#This Row],[Delivery_Days]]&lt;=7,"Normal","Late"))</f>
        <v>Late</v>
      </c>
    </row>
    <row r="431" spans="1:18" x14ac:dyDescent="0.35">
      <c r="A431" t="s">
        <v>269</v>
      </c>
      <c r="B431" t="str">
        <f t="shared" si="30"/>
        <v>APX1231</v>
      </c>
      <c r="C431" s="3">
        <v>45927</v>
      </c>
      <c r="D431" s="3">
        <f>IF(ISNUMBER(C431), C431, DATE(RIGHT(C431, 4), MATCH(LEFT(C431, 3), {"Jan","Feb","Mar","Apr","May","Jun","Jul","Aug","Sep","Oct","Nov","Dec"}, 0), MID(C431, 5, 2)))</f>
        <v>45927</v>
      </c>
      <c r="E431" s="3" t="str">
        <f t="shared" si="31"/>
        <v>Sep</v>
      </c>
      <c r="F431" s="3" t="str">
        <f t="shared" si="32"/>
        <v>2025</v>
      </c>
      <c r="G431" s="4">
        <f t="shared" si="33"/>
        <v>9</v>
      </c>
      <c r="H431" s="3" t="str">
        <f t="shared" si="34"/>
        <v>Q-4</v>
      </c>
      <c r="I431" t="s">
        <v>11</v>
      </c>
      <c r="J431" t="s">
        <v>28</v>
      </c>
      <c r="K431">
        <v>76</v>
      </c>
      <c r="L431" s="5">
        <v>800</v>
      </c>
      <c r="M431">
        <v>3</v>
      </c>
      <c r="N431" t="s">
        <v>504</v>
      </c>
      <c r="O431" t="s">
        <v>506</v>
      </c>
      <c r="P431" t="s">
        <v>25</v>
      </c>
      <c r="Q431" s="5">
        <f>Table1[[#This Row],[Quantity]]*Table1[[#This Row],[Unit_Price]]</f>
        <v>60800</v>
      </c>
      <c r="R431" t="str">
        <f>IF(Table1[[#This Row],[Delivery_Days]]&lt;=3,"Fast",IF(Table1[[#This Row],[Delivery_Days]]&lt;=7,"Normal","Late"))</f>
        <v>Fast</v>
      </c>
    </row>
    <row r="432" spans="1:18" x14ac:dyDescent="0.35">
      <c r="A432" t="s">
        <v>444</v>
      </c>
      <c r="B432" t="str">
        <f t="shared" si="30"/>
        <v>APX1144</v>
      </c>
      <c r="C432" s="3">
        <v>45986</v>
      </c>
      <c r="D432" s="3">
        <f>IF(ISNUMBER(C432), C432, DATE(RIGHT(C432, 4), MATCH(LEFT(C432, 3), {"Jan","Feb","Mar","Apr","May","Jun","Jul","Aug","Sep","Oct","Nov","Dec"}, 0), MID(C432, 5, 2)))</f>
        <v>45986</v>
      </c>
      <c r="E432" s="3" t="str">
        <f t="shared" si="31"/>
        <v>Nov</v>
      </c>
      <c r="F432" s="3" t="str">
        <f t="shared" si="32"/>
        <v>2025</v>
      </c>
      <c r="G432" s="4">
        <f t="shared" si="33"/>
        <v>11</v>
      </c>
      <c r="H432" s="3" t="str">
        <f t="shared" si="34"/>
        <v>Q-4</v>
      </c>
      <c r="I432" t="s">
        <v>510</v>
      </c>
      <c r="J432" t="s">
        <v>32</v>
      </c>
      <c r="K432">
        <v>12</v>
      </c>
      <c r="L432" s="5">
        <v>28114</v>
      </c>
      <c r="M432">
        <v>3</v>
      </c>
      <c r="N432" t="s">
        <v>504</v>
      </c>
      <c r="O432" t="s">
        <v>46</v>
      </c>
      <c r="P432" t="s">
        <v>25</v>
      </c>
      <c r="Q432" s="5">
        <f>Table1[[#This Row],[Quantity]]*Table1[[#This Row],[Unit_Price]]</f>
        <v>337368</v>
      </c>
      <c r="R432" t="str">
        <f>IF(Table1[[#This Row],[Delivery_Days]]&lt;=3,"Fast",IF(Table1[[#This Row],[Delivery_Days]]&lt;=7,"Normal","Late"))</f>
        <v>Fast</v>
      </c>
    </row>
    <row r="433" spans="1:18" x14ac:dyDescent="0.35">
      <c r="A433" t="s">
        <v>446</v>
      </c>
      <c r="B433" t="str">
        <f t="shared" si="30"/>
        <v>APX1248</v>
      </c>
      <c r="C433" s="3">
        <v>45766</v>
      </c>
      <c r="D433" s="3">
        <f>IF(ISNUMBER(C433), C433, DATE(RIGHT(C433, 4), MATCH(LEFT(C433, 3), {"Jan","Feb","Mar","Apr","May","Jun","Jul","Aug","Sep","Oct","Nov","Dec"}, 0), MID(C433, 5, 2)))</f>
        <v>45766</v>
      </c>
      <c r="E433" s="3" t="str">
        <f t="shared" si="31"/>
        <v>Apr</v>
      </c>
      <c r="F433" s="3" t="str">
        <f t="shared" si="32"/>
        <v>2025</v>
      </c>
      <c r="G433" s="4">
        <f t="shared" si="33"/>
        <v>4</v>
      </c>
      <c r="H433" s="3" t="str">
        <f t="shared" si="34"/>
        <v>Q-2</v>
      </c>
      <c r="I433" t="s">
        <v>17</v>
      </c>
      <c r="J433" t="s">
        <v>64</v>
      </c>
      <c r="K433">
        <v>12</v>
      </c>
      <c r="L433" s="5">
        <v>6500</v>
      </c>
      <c r="M433">
        <v>7</v>
      </c>
      <c r="N433" t="s">
        <v>40</v>
      </c>
      <c r="O433" t="s">
        <v>506</v>
      </c>
      <c r="P433" t="s">
        <v>25</v>
      </c>
      <c r="Q433" s="5">
        <f>Table1[[#This Row],[Quantity]]*Table1[[#This Row],[Unit_Price]]</f>
        <v>78000</v>
      </c>
      <c r="R433" t="str">
        <f>IF(Table1[[#This Row],[Delivery_Days]]&lt;=3,"Fast",IF(Table1[[#This Row],[Delivery_Days]]&lt;=7,"Normal","Late"))</f>
        <v>Normal</v>
      </c>
    </row>
    <row r="434" spans="1:18" x14ac:dyDescent="0.35">
      <c r="A434" t="s">
        <v>447</v>
      </c>
      <c r="B434" t="str">
        <f t="shared" si="30"/>
        <v>APX1355</v>
      </c>
      <c r="C434" s="3">
        <v>46021</v>
      </c>
      <c r="D434" s="3">
        <f>IF(ISNUMBER(C434), C434, DATE(RIGHT(C434, 4), MATCH(LEFT(C434, 3), {"Jan","Feb","Mar","Apr","May","Jun","Jul","Aug","Sep","Oct","Nov","Dec"}, 0), MID(C434, 5, 2)))</f>
        <v>46021</v>
      </c>
      <c r="E434" s="3" t="str">
        <f t="shared" si="31"/>
        <v>Dec</v>
      </c>
      <c r="F434" s="3" t="str">
        <f t="shared" si="32"/>
        <v>2025</v>
      </c>
      <c r="G434" s="4">
        <f t="shared" si="33"/>
        <v>12</v>
      </c>
      <c r="H434" s="3" t="str">
        <f t="shared" si="34"/>
        <v>Q-4</v>
      </c>
      <c r="I434" t="s">
        <v>503</v>
      </c>
      <c r="J434" t="s">
        <v>32</v>
      </c>
      <c r="K434">
        <v>143</v>
      </c>
      <c r="L434" s="5">
        <v>800</v>
      </c>
      <c r="M434">
        <v>3</v>
      </c>
      <c r="N434" t="s">
        <v>40</v>
      </c>
      <c r="O434" t="s">
        <v>14</v>
      </c>
      <c r="P434" t="s">
        <v>25</v>
      </c>
      <c r="Q434" s="5">
        <f>Table1[[#This Row],[Quantity]]*Table1[[#This Row],[Unit_Price]]</f>
        <v>114400</v>
      </c>
      <c r="R434" t="str">
        <f>IF(Table1[[#This Row],[Delivery_Days]]&lt;=3,"Fast",IF(Table1[[#This Row],[Delivery_Days]]&lt;=7,"Normal","Late"))</f>
        <v>Fast</v>
      </c>
    </row>
    <row r="435" spans="1:18" x14ac:dyDescent="0.35">
      <c r="A435" t="s">
        <v>449</v>
      </c>
      <c r="B435" t="str">
        <f t="shared" si="30"/>
        <v>APX1200</v>
      </c>
      <c r="C435" s="3">
        <v>45974</v>
      </c>
      <c r="D435" s="3">
        <f>IF(ISNUMBER(C435), C435, DATE(RIGHT(C435, 4), MATCH(LEFT(C435, 3), {"Jan","Feb","Mar","Apr","May","Jun","Jul","Aug","Sep","Oct","Nov","Dec"}, 0), MID(C435, 5, 2)))</f>
        <v>45974</v>
      </c>
      <c r="E435" s="3" t="str">
        <f t="shared" si="31"/>
        <v>Nov</v>
      </c>
      <c r="F435" s="3" t="str">
        <f t="shared" si="32"/>
        <v>2025</v>
      </c>
      <c r="G435" s="4">
        <f t="shared" si="33"/>
        <v>11</v>
      </c>
      <c r="H435" s="3" t="str">
        <f t="shared" si="34"/>
        <v>Q-4</v>
      </c>
      <c r="I435" t="s">
        <v>502</v>
      </c>
      <c r="J435" t="s">
        <v>39</v>
      </c>
      <c r="K435">
        <v>30</v>
      </c>
      <c r="L435" s="5">
        <v>30719</v>
      </c>
      <c r="M435">
        <v>3</v>
      </c>
      <c r="N435" t="s">
        <v>40</v>
      </c>
      <c r="O435" t="s">
        <v>46</v>
      </c>
      <c r="P435" t="s">
        <v>25</v>
      </c>
      <c r="Q435" s="5">
        <f>Table1[[#This Row],[Quantity]]*Table1[[#This Row],[Unit_Price]]</f>
        <v>921570</v>
      </c>
      <c r="R435" t="str">
        <f>IF(Table1[[#This Row],[Delivery_Days]]&lt;=3,"Fast",IF(Table1[[#This Row],[Delivery_Days]]&lt;=7,"Normal","Late"))</f>
        <v>Fast</v>
      </c>
    </row>
    <row r="436" spans="1:18" x14ac:dyDescent="0.35">
      <c r="A436" t="s">
        <v>88</v>
      </c>
      <c r="B436" t="str">
        <f t="shared" si="30"/>
        <v>APX1224</v>
      </c>
      <c r="C436" s="3" t="s">
        <v>330</v>
      </c>
      <c r="D436" s="3">
        <f>IF(ISNUMBER(C436), C436, DATE(RIGHT(C436, 4), MATCH(LEFT(C436, 3), {"Jan","Feb","Mar","Apr","May","Jun","Jul","Aug","Sep","Oct","Nov","Dec"}, 0), MID(C436, 5, 2)))</f>
        <v>45687</v>
      </c>
      <c r="E436" s="3" t="str">
        <f t="shared" si="31"/>
        <v>Jan</v>
      </c>
      <c r="F436" s="3" t="str">
        <f t="shared" si="32"/>
        <v>2025</v>
      </c>
      <c r="G436" s="4">
        <f t="shared" si="33"/>
        <v>1</v>
      </c>
      <c r="H436" s="3" t="str">
        <f t="shared" si="34"/>
        <v>Q-1</v>
      </c>
      <c r="I436" t="s">
        <v>510</v>
      </c>
      <c r="J436" t="s">
        <v>32</v>
      </c>
      <c r="K436">
        <v>2500</v>
      </c>
      <c r="L436" s="5">
        <v>6500</v>
      </c>
      <c r="M436">
        <v>3</v>
      </c>
      <c r="N436" t="s">
        <v>70</v>
      </c>
      <c r="O436" t="s">
        <v>46</v>
      </c>
      <c r="P436" t="s">
        <v>25</v>
      </c>
      <c r="Q436" s="5">
        <f>Table1[[#This Row],[Quantity]]*Table1[[#This Row],[Unit_Price]]</f>
        <v>16250000</v>
      </c>
      <c r="R436" t="str">
        <f>IF(Table1[[#This Row],[Delivery_Days]]&lt;=3,"Fast",IF(Table1[[#This Row],[Delivery_Days]]&lt;=7,"Normal","Late"))</f>
        <v>Fast</v>
      </c>
    </row>
    <row r="437" spans="1:18" x14ac:dyDescent="0.35">
      <c r="A437" t="s">
        <v>139</v>
      </c>
      <c r="B437" t="str">
        <f t="shared" si="30"/>
        <v>APX1065</v>
      </c>
      <c r="C437" s="3">
        <v>45688</v>
      </c>
      <c r="D437" s="3">
        <f>IF(ISNUMBER(C437), C437, DATE(RIGHT(C437, 4), MATCH(LEFT(C437, 3), {"Jan","Feb","Mar","Apr","May","Jun","Jul","Aug","Sep","Oct","Nov","Dec"}, 0), MID(C437, 5, 2)))</f>
        <v>45688</v>
      </c>
      <c r="E437" s="3" t="str">
        <f t="shared" si="31"/>
        <v>Jan</v>
      </c>
      <c r="F437" s="3" t="str">
        <f t="shared" si="32"/>
        <v>2025</v>
      </c>
      <c r="G437" s="4">
        <f t="shared" si="33"/>
        <v>1</v>
      </c>
      <c r="H437" s="3" t="str">
        <f t="shared" si="34"/>
        <v>Q-1</v>
      </c>
      <c r="I437" t="s">
        <v>11</v>
      </c>
      <c r="J437" t="s">
        <v>89</v>
      </c>
      <c r="K437">
        <v>30</v>
      </c>
      <c r="L437" s="5">
        <v>850000</v>
      </c>
      <c r="M437">
        <v>3</v>
      </c>
      <c r="N437" t="s">
        <v>504</v>
      </c>
      <c r="O437" t="s">
        <v>14</v>
      </c>
      <c r="P437" t="s">
        <v>42</v>
      </c>
      <c r="Q437" s="5">
        <f>Table1[[#This Row],[Quantity]]*Table1[[#This Row],[Unit_Price]]</f>
        <v>25500000</v>
      </c>
      <c r="R437" t="str">
        <f>IF(Table1[[#This Row],[Delivery_Days]]&lt;=3,"Fast",IF(Table1[[#This Row],[Delivery_Days]]&lt;=7,"Normal","Late"))</f>
        <v>Fast</v>
      </c>
    </row>
    <row r="438" spans="1:18" x14ac:dyDescent="0.35">
      <c r="A438" t="s">
        <v>450</v>
      </c>
      <c r="B438" t="str">
        <f t="shared" si="30"/>
        <v>APX1361</v>
      </c>
      <c r="C438" s="3">
        <v>45840</v>
      </c>
      <c r="D438" s="3">
        <f>IF(ISNUMBER(C438), C438, DATE(RIGHT(C438, 4), MATCH(LEFT(C438, 3), {"Jan","Feb","Mar","Apr","May","Jun","Jul","Aug","Sep","Oct","Nov","Dec"}, 0), MID(C438, 5, 2)))</f>
        <v>45840</v>
      </c>
      <c r="E438" s="3" t="str">
        <f t="shared" si="31"/>
        <v>Jul</v>
      </c>
      <c r="F438" s="3" t="str">
        <f t="shared" si="32"/>
        <v>2025</v>
      </c>
      <c r="G438" s="4">
        <f t="shared" si="33"/>
        <v>7</v>
      </c>
      <c r="H438" s="3" t="str">
        <f t="shared" si="34"/>
        <v>Q-3</v>
      </c>
      <c r="I438" t="s">
        <v>11</v>
      </c>
      <c r="J438" t="s">
        <v>28</v>
      </c>
      <c r="K438">
        <v>30</v>
      </c>
      <c r="L438" s="5">
        <v>800</v>
      </c>
      <c r="M438">
        <v>3</v>
      </c>
      <c r="N438" t="s">
        <v>505</v>
      </c>
      <c r="O438" t="s">
        <v>506</v>
      </c>
      <c r="P438" t="s">
        <v>25</v>
      </c>
      <c r="Q438" s="5">
        <f>Table1[[#This Row],[Quantity]]*Table1[[#This Row],[Unit_Price]]</f>
        <v>24000</v>
      </c>
      <c r="R438" t="str">
        <f>IF(Table1[[#This Row],[Delivery_Days]]&lt;=3,"Fast",IF(Table1[[#This Row],[Delivery_Days]]&lt;=7,"Normal","Late"))</f>
        <v>Fast</v>
      </c>
    </row>
    <row r="439" spans="1:18" x14ac:dyDescent="0.35">
      <c r="A439" t="s">
        <v>451</v>
      </c>
      <c r="B439" t="str">
        <f t="shared" si="30"/>
        <v>APX1188</v>
      </c>
      <c r="C439" s="3" t="s">
        <v>452</v>
      </c>
      <c r="D439" s="3">
        <f>IF(ISNUMBER(C439), C439, DATE(RIGHT(C439, 4), MATCH(LEFT(C439, 3), {"Jan","Feb","Mar","Apr","May","Jun","Jul","Aug","Sep","Oct","Nov","Dec"}, 0), MID(C439, 5, 2)))</f>
        <v>45791</v>
      </c>
      <c r="E439" s="3" t="str">
        <f t="shared" si="31"/>
        <v>May</v>
      </c>
      <c r="F439" s="3" t="str">
        <f t="shared" si="32"/>
        <v>2025</v>
      </c>
      <c r="G439" s="4">
        <f t="shared" si="33"/>
        <v>5</v>
      </c>
      <c r="H439" s="3" t="str">
        <f t="shared" si="34"/>
        <v>Q-2</v>
      </c>
      <c r="I439" t="s">
        <v>510</v>
      </c>
      <c r="J439" t="s">
        <v>64</v>
      </c>
      <c r="K439">
        <v>2500</v>
      </c>
      <c r="L439" s="5">
        <v>850000</v>
      </c>
      <c r="M439">
        <v>3</v>
      </c>
      <c r="N439" t="s">
        <v>40</v>
      </c>
      <c r="O439" t="s">
        <v>506</v>
      </c>
      <c r="P439" t="s">
        <v>25</v>
      </c>
      <c r="Q439" s="5">
        <f>Table1[[#This Row],[Quantity]]*Table1[[#This Row],[Unit_Price]]</f>
        <v>2125000000</v>
      </c>
      <c r="R439" t="str">
        <f>IF(Table1[[#This Row],[Delivery_Days]]&lt;=3,"Fast",IF(Table1[[#This Row],[Delivery_Days]]&lt;=7,"Normal","Late"))</f>
        <v>Fast</v>
      </c>
    </row>
    <row r="440" spans="1:18" x14ac:dyDescent="0.35">
      <c r="A440" t="s">
        <v>168</v>
      </c>
      <c r="B440" t="str">
        <f t="shared" si="30"/>
        <v>APX1348</v>
      </c>
      <c r="C440" s="3">
        <v>45941</v>
      </c>
      <c r="D440" s="3">
        <f>IF(ISNUMBER(C440), C440, DATE(RIGHT(C440, 4), MATCH(LEFT(C440, 3), {"Jan","Feb","Mar","Apr","May","Jun","Jul","Aug","Sep","Oct","Nov","Dec"}, 0), MID(C440, 5, 2)))</f>
        <v>45941</v>
      </c>
      <c r="E440" s="3" t="str">
        <f t="shared" si="31"/>
        <v>Oct</v>
      </c>
      <c r="F440" s="3" t="str">
        <f t="shared" si="32"/>
        <v>2025</v>
      </c>
      <c r="G440" s="4">
        <f t="shared" si="33"/>
        <v>10</v>
      </c>
      <c r="H440" s="3" t="str">
        <f t="shared" si="34"/>
        <v>Q-4</v>
      </c>
      <c r="I440" t="s">
        <v>503</v>
      </c>
      <c r="J440" t="s">
        <v>32</v>
      </c>
      <c r="K440">
        <v>110</v>
      </c>
      <c r="L440" s="5">
        <v>6500</v>
      </c>
      <c r="M440">
        <v>10</v>
      </c>
      <c r="N440" t="s">
        <v>40</v>
      </c>
      <c r="O440" t="s">
        <v>14</v>
      </c>
      <c r="P440" t="s">
        <v>25</v>
      </c>
      <c r="Q440" s="5">
        <f>Table1[[#This Row],[Quantity]]*Table1[[#This Row],[Unit_Price]]</f>
        <v>715000</v>
      </c>
      <c r="R440" t="str">
        <f>IF(Table1[[#This Row],[Delivery_Days]]&lt;=3,"Fast",IF(Table1[[#This Row],[Delivery_Days]]&lt;=7,"Normal","Late"))</f>
        <v>Late</v>
      </c>
    </row>
    <row r="441" spans="1:18" x14ac:dyDescent="0.35">
      <c r="A441" t="s">
        <v>453</v>
      </c>
      <c r="B441" t="str">
        <f t="shared" si="30"/>
        <v>APX1015</v>
      </c>
      <c r="C441" s="3">
        <v>45670</v>
      </c>
      <c r="D441" s="3">
        <f>IF(ISNUMBER(C441), C441, DATE(RIGHT(C441, 4), MATCH(LEFT(C441, 3), {"Jan","Feb","Mar","Apr","May","Jun","Jul","Aug","Sep","Oct","Nov","Dec"}, 0), MID(C441, 5, 2)))</f>
        <v>45670</v>
      </c>
      <c r="E441" s="3" t="str">
        <f t="shared" si="31"/>
        <v>Jan</v>
      </c>
      <c r="F441" s="3" t="str">
        <f t="shared" si="32"/>
        <v>2025</v>
      </c>
      <c r="G441" s="4">
        <f t="shared" si="33"/>
        <v>1</v>
      </c>
      <c r="H441" s="3" t="str">
        <f t="shared" si="34"/>
        <v>Q-1</v>
      </c>
      <c r="I441" t="s">
        <v>76</v>
      </c>
      <c r="J441" t="s">
        <v>32</v>
      </c>
      <c r="K441">
        <v>12</v>
      </c>
      <c r="L441" s="5">
        <v>800</v>
      </c>
      <c r="M441">
        <v>95</v>
      </c>
      <c r="N441" t="s">
        <v>70</v>
      </c>
      <c r="O441" t="s">
        <v>46</v>
      </c>
      <c r="P441" t="s">
        <v>25</v>
      </c>
      <c r="Q441" s="5">
        <f>Table1[[#This Row],[Quantity]]*Table1[[#This Row],[Unit_Price]]</f>
        <v>9600</v>
      </c>
      <c r="R441" t="str">
        <f>IF(Table1[[#This Row],[Delivery_Days]]&lt;=3,"Fast",IF(Table1[[#This Row],[Delivery_Days]]&lt;=7,"Normal","Late"))</f>
        <v>Late</v>
      </c>
    </row>
    <row r="442" spans="1:18" x14ac:dyDescent="0.35">
      <c r="A442" t="s">
        <v>455</v>
      </c>
      <c r="B442" t="str">
        <f t="shared" si="30"/>
        <v>APX1183</v>
      </c>
      <c r="C442" s="3">
        <v>45900</v>
      </c>
      <c r="D442" s="3">
        <f>IF(ISNUMBER(C442), C442, DATE(RIGHT(C442, 4), MATCH(LEFT(C442, 3), {"Jan","Feb","Mar","Apr","May","Jun","Jul","Aug","Sep","Oct","Nov","Dec"}, 0), MID(C442, 5, 2)))</f>
        <v>45900</v>
      </c>
      <c r="E442" s="3" t="str">
        <f t="shared" si="31"/>
        <v>Aug</v>
      </c>
      <c r="F442" s="3" t="str">
        <f t="shared" si="32"/>
        <v>2025</v>
      </c>
      <c r="G442" s="4">
        <f t="shared" si="33"/>
        <v>8</v>
      </c>
      <c r="H442" s="3" t="str">
        <f t="shared" si="34"/>
        <v>Q-3</v>
      </c>
      <c r="I442" t="s">
        <v>76</v>
      </c>
      <c r="J442" t="s">
        <v>32</v>
      </c>
      <c r="K442">
        <v>144</v>
      </c>
      <c r="L442" s="5">
        <v>800</v>
      </c>
      <c r="M442">
        <v>3</v>
      </c>
      <c r="N442" t="s">
        <v>560</v>
      </c>
      <c r="O442" t="s">
        <v>506</v>
      </c>
      <c r="P442" t="s">
        <v>25</v>
      </c>
      <c r="Q442" s="5">
        <f>Table1[[#This Row],[Quantity]]*Table1[[#This Row],[Unit_Price]]</f>
        <v>115200</v>
      </c>
      <c r="R442" t="str">
        <f>IF(Table1[[#This Row],[Delivery_Days]]&lt;=3,"Fast",IF(Table1[[#This Row],[Delivery_Days]]&lt;=7,"Normal","Late"))</f>
        <v>Fast</v>
      </c>
    </row>
    <row r="443" spans="1:18" x14ac:dyDescent="0.35">
      <c r="A443">
        <v>1404</v>
      </c>
      <c r="B443" t="str">
        <f t="shared" si="30"/>
        <v>APX1404</v>
      </c>
      <c r="C443" s="3">
        <v>45910</v>
      </c>
      <c r="D443" s="3">
        <f>IF(ISNUMBER(C443), C443, DATE(RIGHT(C443, 4), MATCH(LEFT(C443, 3), {"Jan","Feb","Mar","Apr","May","Jun","Jul","Aug","Sep","Oct","Nov","Dec"}, 0), MID(C443, 5, 2)))</f>
        <v>45910</v>
      </c>
      <c r="E443" s="3" t="str">
        <f t="shared" si="31"/>
        <v>Sep</v>
      </c>
      <c r="F443" s="3" t="str">
        <f t="shared" si="32"/>
        <v>2025</v>
      </c>
      <c r="G443" s="4">
        <f t="shared" si="33"/>
        <v>9</v>
      </c>
      <c r="H443" s="3" t="str">
        <f t="shared" si="34"/>
        <v>Q-4</v>
      </c>
      <c r="I443" t="s">
        <v>76</v>
      </c>
      <c r="J443" t="s">
        <v>73</v>
      </c>
      <c r="K443">
        <v>30</v>
      </c>
      <c r="L443" s="5">
        <v>11534</v>
      </c>
      <c r="M443">
        <v>3</v>
      </c>
      <c r="N443" t="s">
        <v>40</v>
      </c>
      <c r="O443" t="s">
        <v>506</v>
      </c>
      <c r="P443" t="s">
        <v>25</v>
      </c>
      <c r="Q443" s="5">
        <f>Table1[[#This Row],[Quantity]]*Table1[[#This Row],[Unit_Price]]</f>
        <v>346020</v>
      </c>
      <c r="R443" t="str">
        <f>IF(Table1[[#This Row],[Delivery_Days]]&lt;=3,"Fast",IF(Table1[[#This Row],[Delivery_Days]]&lt;=7,"Normal","Late"))</f>
        <v>Fast</v>
      </c>
    </row>
    <row r="444" spans="1:18" x14ac:dyDescent="0.35">
      <c r="A444" t="s">
        <v>338</v>
      </c>
      <c r="B444" t="str">
        <f t="shared" si="30"/>
        <v>APX1017</v>
      </c>
      <c r="C444" s="3" t="s">
        <v>456</v>
      </c>
      <c r="D444" s="3">
        <f>IF(ISNUMBER(C444), C444, DATE(RIGHT(C444, 4), MATCH(LEFT(C444, 3), {"Jan","Feb","Mar","Apr","May","Jun","Jul","Aug","Sep","Oct","Nov","Dec"}, 0), MID(C444, 5, 2)))</f>
        <v>45684</v>
      </c>
      <c r="E444" s="3" t="str">
        <f t="shared" si="31"/>
        <v>Jan</v>
      </c>
      <c r="F444" s="3" t="str">
        <f t="shared" si="32"/>
        <v>2025</v>
      </c>
      <c r="G444" s="4">
        <f t="shared" si="33"/>
        <v>1</v>
      </c>
      <c r="H444" s="3" t="str">
        <f t="shared" si="34"/>
        <v>Q-1</v>
      </c>
      <c r="I444" t="s">
        <v>503</v>
      </c>
      <c r="J444" t="s">
        <v>39</v>
      </c>
      <c r="K444">
        <v>12</v>
      </c>
      <c r="L444" s="5">
        <v>42905</v>
      </c>
      <c r="M444">
        <v>95</v>
      </c>
      <c r="N444" t="s">
        <v>505</v>
      </c>
      <c r="O444" t="s">
        <v>46</v>
      </c>
      <c r="P444" t="s">
        <v>15</v>
      </c>
      <c r="Q444" s="5">
        <f>Table1[[#This Row],[Quantity]]*Table1[[#This Row],[Unit_Price]]</f>
        <v>514860</v>
      </c>
      <c r="R444" t="str">
        <f>IF(Table1[[#This Row],[Delivery_Days]]&lt;=3,"Fast",IF(Table1[[#This Row],[Delivery_Days]]&lt;=7,"Normal","Late"))</f>
        <v>Late</v>
      </c>
    </row>
    <row r="445" spans="1:18" x14ac:dyDescent="0.35">
      <c r="A445" t="s">
        <v>457</v>
      </c>
      <c r="B445" t="str">
        <f t="shared" si="30"/>
        <v>APX1334</v>
      </c>
      <c r="C445" s="3" t="s">
        <v>138</v>
      </c>
      <c r="D445" s="3">
        <f>IF(ISNUMBER(C445), C445, DATE(RIGHT(C445, 4), MATCH(LEFT(C445, 3), {"Jan","Feb","Mar","Apr","May","Jun","Jul","Aug","Sep","Oct","Nov","Dec"}, 0), MID(C445, 5, 2)))</f>
        <v>45867</v>
      </c>
      <c r="E445" s="3" t="str">
        <f t="shared" si="31"/>
        <v>Jul</v>
      </c>
      <c r="F445" s="3" t="str">
        <f t="shared" si="32"/>
        <v>2025</v>
      </c>
      <c r="G445" s="4">
        <f t="shared" si="33"/>
        <v>7</v>
      </c>
      <c r="H445" s="3" t="str">
        <f t="shared" si="34"/>
        <v>Q-3</v>
      </c>
      <c r="I445" t="s">
        <v>11</v>
      </c>
      <c r="J445" t="s">
        <v>28</v>
      </c>
      <c r="K445">
        <v>30</v>
      </c>
      <c r="L445" s="5">
        <v>44651</v>
      </c>
      <c r="M445">
        <v>3</v>
      </c>
      <c r="N445" t="s">
        <v>505</v>
      </c>
      <c r="O445" t="s">
        <v>506</v>
      </c>
      <c r="P445" t="s">
        <v>42</v>
      </c>
      <c r="Q445" s="5">
        <f>Table1[[#This Row],[Quantity]]*Table1[[#This Row],[Unit_Price]]</f>
        <v>1339530</v>
      </c>
      <c r="R445" t="str">
        <f>IF(Table1[[#This Row],[Delivery_Days]]&lt;=3,"Fast",IF(Table1[[#This Row],[Delivery_Days]]&lt;=7,"Normal","Late"))</f>
        <v>Fast</v>
      </c>
    </row>
    <row r="446" spans="1:18" x14ac:dyDescent="0.35">
      <c r="A446" t="s">
        <v>458</v>
      </c>
      <c r="B446" t="str">
        <f t="shared" si="30"/>
        <v>APX1312</v>
      </c>
      <c r="C446" s="3">
        <v>45803</v>
      </c>
      <c r="D446" s="3">
        <f>IF(ISNUMBER(C446), C446, DATE(RIGHT(C446, 4), MATCH(LEFT(C446, 3), {"Jan","Feb","Mar","Apr","May","Jun","Jul","Aug","Sep","Oct","Nov","Dec"}, 0), MID(C446, 5, 2)))</f>
        <v>45803</v>
      </c>
      <c r="E446" s="3" t="str">
        <f t="shared" si="31"/>
        <v>May</v>
      </c>
      <c r="F446" s="3" t="str">
        <f t="shared" si="32"/>
        <v>2025</v>
      </c>
      <c r="G446" s="4">
        <f t="shared" si="33"/>
        <v>5</v>
      </c>
      <c r="H446" s="3" t="str">
        <f t="shared" si="34"/>
        <v>Q-2</v>
      </c>
      <c r="I446" t="s">
        <v>503</v>
      </c>
      <c r="J446" t="s">
        <v>89</v>
      </c>
      <c r="K446">
        <v>30</v>
      </c>
      <c r="L446" s="5">
        <v>850000</v>
      </c>
      <c r="M446">
        <v>95</v>
      </c>
      <c r="N446" t="s">
        <v>40</v>
      </c>
      <c r="O446" t="s">
        <v>506</v>
      </c>
      <c r="P446" t="s">
        <v>25</v>
      </c>
      <c r="Q446" s="5">
        <f>Table1[[#This Row],[Quantity]]*Table1[[#This Row],[Unit_Price]]</f>
        <v>25500000</v>
      </c>
      <c r="R446" t="str">
        <f>IF(Table1[[#This Row],[Delivery_Days]]&lt;=3,"Fast",IF(Table1[[#This Row],[Delivery_Days]]&lt;=7,"Normal","Late"))</f>
        <v>Late</v>
      </c>
    </row>
    <row r="447" spans="1:18" x14ac:dyDescent="0.35">
      <c r="A447" t="s">
        <v>397</v>
      </c>
      <c r="B447" t="str">
        <f t="shared" si="30"/>
        <v>APX1182</v>
      </c>
      <c r="C447" s="3">
        <v>45950</v>
      </c>
      <c r="D447" s="3">
        <f>IF(ISNUMBER(C447), C447, DATE(RIGHT(C447, 4), MATCH(LEFT(C447, 3), {"Jan","Feb","Mar","Apr","May","Jun","Jul","Aug","Sep","Oct","Nov","Dec"}, 0), MID(C447, 5, 2)))</f>
        <v>45950</v>
      </c>
      <c r="E447" s="3" t="str">
        <f t="shared" si="31"/>
        <v>Oct</v>
      </c>
      <c r="F447" s="3" t="str">
        <f t="shared" si="32"/>
        <v>2025</v>
      </c>
      <c r="G447" s="4">
        <f t="shared" si="33"/>
        <v>10</v>
      </c>
      <c r="H447" s="3" t="str">
        <f t="shared" si="34"/>
        <v>Q-4</v>
      </c>
      <c r="I447" t="s">
        <v>510</v>
      </c>
      <c r="J447" t="s">
        <v>32</v>
      </c>
      <c r="K447">
        <v>51</v>
      </c>
      <c r="L447" s="5">
        <v>800</v>
      </c>
      <c r="M447">
        <v>3</v>
      </c>
      <c r="N447" t="s">
        <v>504</v>
      </c>
      <c r="O447" t="s">
        <v>14</v>
      </c>
      <c r="P447" t="s">
        <v>42</v>
      </c>
      <c r="Q447" s="5">
        <f>Table1[[#This Row],[Quantity]]*Table1[[#This Row],[Unit_Price]]</f>
        <v>40800</v>
      </c>
      <c r="R447" t="str">
        <f>IF(Table1[[#This Row],[Delivery_Days]]&lt;=3,"Fast",IF(Table1[[#This Row],[Delivery_Days]]&lt;=7,"Normal","Late"))</f>
        <v>Fast</v>
      </c>
    </row>
    <row r="448" spans="1:18" x14ac:dyDescent="0.35">
      <c r="A448" t="s">
        <v>461</v>
      </c>
      <c r="B448" t="str">
        <f t="shared" si="30"/>
        <v>APX1347</v>
      </c>
      <c r="C448" s="3">
        <v>45751</v>
      </c>
      <c r="D448" s="3">
        <f>IF(ISNUMBER(C448), C448, DATE(RIGHT(C448, 4), MATCH(LEFT(C448, 3), {"Jan","Feb","Mar","Apr","May","Jun","Jul","Aug","Sep","Oct","Nov","Dec"}, 0), MID(C448, 5, 2)))</f>
        <v>45751</v>
      </c>
      <c r="E448" s="3" t="str">
        <f t="shared" si="31"/>
        <v>Apr</v>
      </c>
      <c r="F448" s="3" t="str">
        <f t="shared" si="32"/>
        <v>2025</v>
      </c>
      <c r="G448" s="4">
        <f t="shared" si="33"/>
        <v>4</v>
      </c>
      <c r="H448" s="3" t="str">
        <f t="shared" si="34"/>
        <v>Q-2</v>
      </c>
      <c r="I448" t="s">
        <v>11</v>
      </c>
      <c r="J448" t="s">
        <v>32</v>
      </c>
      <c r="K448">
        <v>172</v>
      </c>
      <c r="L448" s="5">
        <v>800</v>
      </c>
      <c r="M448">
        <v>3</v>
      </c>
      <c r="N448" t="s">
        <v>40</v>
      </c>
      <c r="O448" t="s">
        <v>14</v>
      </c>
      <c r="P448" t="s">
        <v>42</v>
      </c>
      <c r="Q448" s="5">
        <f>Table1[[#This Row],[Quantity]]*Table1[[#This Row],[Unit_Price]]</f>
        <v>137600</v>
      </c>
      <c r="R448" t="str">
        <f>IF(Table1[[#This Row],[Delivery_Days]]&lt;=3,"Fast",IF(Table1[[#This Row],[Delivery_Days]]&lt;=7,"Normal","Late"))</f>
        <v>Fast</v>
      </c>
    </row>
    <row r="449" spans="1:18" x14ac:dyDescent="0.35">
      <c r="A449" t="s">
        <v>370</v>
      </c>
      <c r="B449" t="str">
        <f t="shared" si="30"/>
        <v>APX1110</v>
      </c>
      <c r="C449" s="3" t="s">
        <v>462</v>
      </c>
      <c r="D449" s="3">
        <f>IF(ISNUMBER(C449), C449, DATE(RIGHT(C449, 4), MATCH(LEFT(C449, 3), {"Jan","Feb","Mar","Apr","May","Jun","Jul","Aug","Sep","Oct","Nov","Dec"}, 0), MID(C449, 5, 2)))</f>
        <v>45735</v>
      </c>
      <c r="E449" s="3" t="str">
        <f t="shared" si="31"/>
        <v>Mar</v>
      </c>
      <c r="F449" s="3" t="str">
        <f t="shared" si="32"/>
        <v>2025</v>
      </c>
      <c r="G449" s="4">
        <f t="shared" si="33"/>
        <v>3</v>
      </c>
      <c r="H449" s="3" t="str">
        <f t="shared" si="34"/>
        <v>Q-1</v>
      </c>
      <c r="I449" t="s">
        <v>503</v>
      </c>
      <c r="J449" t="s">
        <v>89</v>
      </c>
      <c r="K449">
        <v>120</v>
      </c>
      <c r="L449" s="5">
        <v>6500</v>
      </c>
      <c r="M449">
        <v>3</v>
      </c>
      <c r="N449" t="s">
        <v>40</v>
      </c>
      <c r="O449" t="s">
        <v>14</v>
      </c>
      <c r="P449" t="s">
        <v>25</v>
      </c>
      <c r="Q449" s="5">
        <f>Table1[[#This Row],[Quantity]]*Table1[[#This Row],[Unit_Price]]</f>
        <v>780000</v>
      </c>
      <c r="R449" t="str">
        <f>IF(Table1[[#This Row],[Delivery_Days]]&lt;=3,"Fast",IF(Table1[[#This Row],[Delivery_Days]]&lt;=7,"Normal","Late"))</f>
        <v>Fast</v>
      </c>
    </row>
    <row r="450" spans="1:18" x14ac:dyDescent="0.35">
      <c r="A450" t="s">
        <v>463</v>
      </c>
      <c r="B450" t="str">
        <f t="shared" si="30"/>
        <v>APX1350</v>
      </c>
      <c r="C450" s="3" t="s">
        <v>228</v>
      </c>
      <c r="D450" s="3">
        <f>IF(ISNUMBER(C450), C450, DATE(RIGHT(C450, 4), MATCH(LEFT(C450, 3), {"Jan","Feb","Mar","Apr","May","Jun","Jul","Aug","Sep","Oct","Nov","Dec"}, 0), MID(C450, 5, 2)))</f>
        <v>45871</v>
      </c>
      <c r="E450" s="3" t="str">
        <f t="shared" si="31"/>
        <v>Aug</v>
      </c>
      <c r="F450" s="3" t="str">
        <f t="shared" si="32"/>
        <v>2025</v>
      </c>
      <c r="G450" s="4">
        <f t="shared" si="33"/>
        <v>8</v>
      </c>
      <c r="H450" s="3" t="str">
        <f t="shared" si="34"/>
        <v>Q-3</v>
      </c>
      <c r="I450" t="s">
        <v>510</v>
      </c>
      <c r="J450" t="s">
        <v>32</v>
      </c>
      <c r="K450">
        <v>12</v>
      </c>
      <c r="L450" s="5">
        <v>33822</v>
      </c>
      <c r="M450">
        <v>95</v>
      </c>
      <c r="N450" t="s">
        <v>40</v>
      </c>
      <c r="O450" t="s">
        <v>14</v>
      </c>
      <c r="P450" t="s">
        <v>25</v>
      </c>
      <c r="Q450" s="5">
        <f>Table1[[#This Row],[Quantity]]*Table1[[#This Row],[Unit_Price]]</f>
        <v>405864</v>
      </c>
      <c r="R450" t="str">
        <f>IF(Table1[[#This Row],[Delivery_Days]]&lt;=3,"Fast",IF(Table1[[#This Row],[Delivery_Days]]&lt;=7,"Normal","Late"))</f>
        <v>Late</v>
      </c>
    </row>
    <row r="451" spans="1:18" x14ac:dyDescent="0.35">
      <c r="A451" t="s">
        <v>464</v>
      </c>
      <c r="B451" t="str">
        <f t="shared" ref="B451:B501" si="35">IF(LEFT(A451,3)="APX",A451,"APX" &amp; A451)</f>
        <v>APX1259</v>
      </c>
      <c r="C451" s="3">
        <v>45832</v>
      </c>
      <c r="D451" s="3">
        <f>IF(ISNUMBER(C451), C451, DATE(RIGHT(C451, 4), MATCH(LEFT(C451, 3), {"Jan","Feb","Mar","Apr","May","Jun","Jul","Aug","Sep","Oct","Nov","Dec"}, 0), MID(C451, 5, 2)))</f>
        <v>45832</v>
      </c>
      <c r="E451" s="3" t="str">
        <f t="shared" ref="E451:E501" si="36">TEXT(D451,"mmm")</f>
        <v>Jun</v>
      </c>
      <c r="F451" s="3" t="str">
        <f t="shared" ref="F451:F501" si="37">TEXT(D451,"yyyy")</f>
        <v>2025</v>
      </c>
      <c r="G451" s="4">
        <f t="shared" ref="G451:G501" si="38">MONTH(D451)</f>
        <v>6</v>
      </c>
      <c r="H451" s="3" t="str">
        <f t="shared" ref="H451:H501" si="39">IF(G451&lt;=3,"Q-1",IF(G451&lt;=6,"Q-2",IF(G451&lt;9,"Q-3","Q-4")))</f>
        <v>Q-2</v>
      </c>
      <c r="I451" t="s">
        <v>11</v>
      </c>
      <c r="J451" t="s">
        <v>32</v>
      </c>
      <c r="K451">
        <v>30</v>
      </c>
      <c r="L451" s="5">
        <v>6333</v>
      </c>
      <c r="M451">
        <v>3</v>
      </c>
      <c r="N451" t="s">
        <v>560</v>
      </c>
      <c r="O451" t="s">
        <v>506</v>
      </c>
      <c r="P451" t="s">
        <v>25</v>
      </c>
      <c r="Q451" s="5">
        <f>Table1[[#This Row],[Quantity]]*Table1[[#This Row],[Unit_Price]]</f>
        <v>189990</v>
      </c>
      <c r="R451" t="str">
        <f>IF(Table1[[#This Row],[Delivery_Days]]&lt;=3,"Fast",IF(Table1[[#This Row],[Delivery_Days]]&lt;=7,"Normal","Late"))</f>
        <v>Fast</v>
      </c>
    </row>
    <row r="452" spans="1:18" x14ac:dyDescent="0.35">
      <c r="A452" t="s">
        <v>465</v>
      </c>
      <c r="B452" t="str">
        <f t="shared" si="35"/>
        <v>APX1316</v>
      </c>
      <c r="C452" s="3">
        <v>45939</v>
      </c>
      <c r="D452" s="3">
        <f>IF(ISNUMBER(C452), C452, DATE(RIGHT(C452, 4), MATCH(LEFT(C452, 3), {"Jan","Feb","Mar","Apr","May","Jun","Jul","Aug","Sep","Oct","Nov","Dec"}, 0), MID(C452, 5, 2)))</f>
        <v>45939</v>
      </c>
      <c r="E452" s="3" t="str">
        <f t="shared" si="36"/>
        <v>Oct</v>
      </c>
      <c r="F452" s="3" t="str">
        <f t="shared" si="37"/>
        <v>2025</v>
      </c>
      <c r="G452" s="4">
        <f t="shared" si="38"/>
        <v>10</v>
      </c>
      <c r="H452" s="3" t="str">
        <f t="shared" si="39"/>
        <v>Q-4</v>
      </c>
      <c r="I452" t="s">
        <v>503</v>
      </c>
      <c r="J452" t="s">
        <v>32</v>
      </c>
      <c r="K452">
        <v>2500</v>
      </c>
      <c r="L452" s="5">
        <v>6500</v>
      </c>
      <c r="M452">
        <v>11</v>
      </c>
      <c r="N452" t="s">
        <v>70</v>
      </c>
      <c r="O452" t="s">
        <v>46</v>
      </c>
      <c r="P452" t="s">
        <v>74</v>
      </c>
      <c r="Q452" s="5">
        <f>Table1[[#This Row],[Quantity]]*Table1[[#This Row],[Unit_Price]]</f>
        <v>16250000</v>
      </c>
      <c r="R452" t="str">
        <f>IF(Table1[[#This Row],[Delivery_Days]]&lt;=3,"Fast",IF(Table1[[#This Row],[Delivery_Days]]&lt;=7,"Normal","Late"))</f>
        <v>Late</v>
      </c>
    </row>
    <row r="453" spans="1:18" x14ac:dyDescent="0.35">
      <c r="A453" t="s">
        <v>135</v>
      </c>
      <c r="B453" t="str">
        <f t="shared" si="35"/>
        <v>APX1145</v>
      </c>
      <c r="C453" s="3">
        <v>45908</v>
      </c>
      <c r="D453" s="3">
        <f>IF(ISNUMBER(C453), C453, DATE(RIGHT(C453, 4), MATCH(LEFT(C453, 3), {"Jan","Feb","Mar","Apr","May","Jun","Jul","Aug","Sep","Oct","Nov","Dec"}, 0), MID(C453, 5, 2)))</f>
        <v>45908</v>
      </c>
      <c r="E453" s="3" t="str">
        <f t="shared" si="36"/>
        <v>Sep</v>
      </c>
      <c r="F453" s="3" t="str">
        <f t="shared" si="37"/>
        <v>2025</v>
      </c>
      <c r="G453" s="4">
        <f t="shared" si="38"/>
        <v>9</v>
      </c>
      <c r="H453" s="3" t="str">
        <f t="shared" si="39"/>
        <v>Q-4</v>
      </c>
      <c r="I453" t="s">
        <v>510</v>
      </c>
      <c r="J453" t="s">
        <v>32</v>
      </c>
      <c r="K453">
        <v>30</v>
      </c>
      <c r="L453" s="5">
        <v>800</v>
      </c>
      <c r="M453">
        <v>95</v>
      </c>
      <c r="N453" t="s">
        <v>70</v>
      </c>
      <c r="O453" t="s">
        <v>506</v>
      </c>
      <c r="P453" t="s">
        <v>15</v>
      </c>
      <c r="Q453" s="5">
        <f>Table1[[#This Row],[Quantity]]*Table1[[#This Row],[Unit_Price]]</f>
        <v>24000</v>
      </c>
      <c r="R453" t="str">
        <f>IF(Table1[[#This Row],[Delivery_Days]]&lt;=3,"Fast",IF(Table1[[#This Row],[Delivery_Days]]&lt;=7,"Normal","Late"))</f>
        <v>Late</v>
      </c>
    </row>
    <row r="454" spans="1:18" x14ac:dyDescent="0.35">
      <c r="A454" t="s">
        <v>285</v>
      </c>
      <c r="B454" t="str">
        <f t="shared" si="35"/>
        <v>APX1411</v>
      </c>
      <c r="C454" s="3">
        <v>45733</v>
      </c>
      <c r="D454" s="3">
        <f>IF(ISNUMBER(C454), C454, DATE(RIGHT(C454, 4), MATCH(LEFT(C454, 3), {"Jan","Feb","Mar","Apr","May","Jun","Jul","Aug","Sep","Oct","Nov","Dec"}, 0), MID(C454, 5, 2)))</f>
        <v>45733</v>
      </c>
      <c r="E454" s="3" t="str">
        <f t="shared" si="36"/>
        <v>Mar</v>
      </c>
      <c r="F454" s="3" t="str">
        <f t="shared" si="37"/>
        <v>2025</v>
      </c>
      <c r="G454" s="4">
        <f t="shared" si="38"/>
        <v>3</v>
      </c>
      <c r="H454" s="3" t="str">
        <f t="shared" si="39"/>
        <v>Q-1</v>
      </c>
      <c r="I454" t="s">
        <v>17</v>
      </c>
      <c r="J454" t="s">
        <v>39</v>
      </c>
      <c r="K454">
        <v>85</v>
      </c>
      <c r="L454" s="5">
        <v>850000</v>
      </c>
      <c r="M454">
        <v>7</v>
      </c>
      <c r="N454" t="s">
        <v>505</v>
      </c>
      <c r="O454" t="s">
        <v>506</v>
      </c>
      <c r="P454" t="s">
        <v>25</v>
      </c>
      <c r="Q454" s="5">
        <f>Table1[[#This Row],[Quantity]]*Table1[[#This Row],[Unit_Price]]</f>
        <v>72250000</v>
      </c>
      <c r="R454" t="str">
        <f>IF(Table1[[#This Row],[Delivery_Days]]&lt;=3,"Fast",IF(Table1[[#This Row],[Delivery_Days]]&lt;=7,"Normal","Late"))</f>
        <v>Normal</v>
      </c>
    </row>
    <row r="455" spans="1:18" x14ac:dyDescent="0.35">
      <c r="A455" t="s">
        <v>315</v>
      </c>
      <c r="B455" t="str">
        <f t="shared" si="35"/>
        <v>APX1014</v>
      </c>
      <c r="C455" s="3">
        <v>45810</v>
      </c>
      <c r="D455" s="3">
        <f>IF(ISNUMBER(C455), C455, DATE(RIGHT(C455, 4), MATCH(LEFT(C455, 3), {"Jan","Feb","Mar","Apr","May","Jun","Jul","Aug","Sep","Oct","Nov","Dec"}, 0), MID(C455, 5, 2)))</f>
        <v>45810</v>
      </c>
      <c r="E455" s="3" t="str">
        <f t="shared" si="36"/>
        <v>Jun</v>
      </c>
      <c r="F455" s="3" t="str">
        <f t="shared" si="37"/>
        <v>2025</v>
      </c>
      <c r="G455" s="4">
        <f t="shared" si="38"/>
        <v>6</v>
      </c>
      <c r="H455" s="3" t="str">
        <f t="shared" si="39"/>
        <v>Q-2</v>
      </c>
      <c r="I455" t="s">
        <v>11</v>
      </c>
      <c r="J455" t="s">
        <v>39</v>
      </c>
      <c r="K455">
        <v>82</v>
      </c>
      <c r="L455" s="5">
        <v>4500</v>
      </c>
      <c r="M455">
        <v>95</v>
      </c>
      <c r="N455" t="s">
        <v>40</v>
      </c>
      <c r="O455" t="s">
        <v>14</v>
      </c>
      <c r="P455" t="s">
        <v>25</v>
      </c>
      <c r="Q455" s="5">
        <f>Table1[[#This Row],[Quantity]]*Table1[[#This Row],[Unit_Price]]</f>
        <v>369000</v>
      </c>
      <c r="R455" t="str">
        <f>IF(Table1[[#This Row],[Delivery_Days]]&lt;=3,"Fast",IF(Table1[[#This Row],[Delivery_Days]]&lt;=7,"Normal","Late"))</f>
        <v>Late</v>
      </c>
    </row>
    <row r="456" spans="1:18" x14ac:dyDescent="0.35">
      <c r="A456">
        <v>1161</v>
      </c>
      <c r="B456" t="str">
        <f t="shared" si="35"/>
        <v>APX1161</v>
      </c>
      <c r="C456" s="3">
        <v>45788</v>
      </c>
      <c r="D456" s="3">
        <f>IF(ISNUMBER(C456), C456, DATE(RIGHT(C456, 4), MATCH(LEFT(C456, 3), {"Jan","Feb","Mar","Apr","May","Jun","Jul","Aug","Sep","Oct","Nov","Dec"}, 0), MID(C456, 5, 2)))</f>
        <v>45788</v>
      </c>
      <c r="E456" s="3" t="str">
        <f t="shared" si="36"/>
        <v>May</v>
      </c>
      <c r="F456" s="3" t="str">
        <f t="shared" si="37"/>
        <v>2025</v>
      </c>
      <c r="G456" s="4">
        <f t="shared" si="38"/>
        <v>5</v>
      </c>
      <c r="H456" s="3" t="str">
        <f t="shared" si="39"/>
        <v>Q-2</v>
      </c>
      <c r="I456" t="s">
        <v>502</v>
      </c>
      <c r="J456" t="s">
        <v>73</v>
      </c>
      <c r="K456">
        <v>2500</v>
      </c>
      <c r="L456" s="5">
        <v>6500</v>
      </c>
      <c r="M456">
        <v>3</v>
      </c>
      <c r="N456" t="s">
        <v>504</v>
      </c>
      <c r="O456" t="s">
        <v>506</v>
      </c>
      <c r="P456" t="s">
        <v>25</v>
      </c>
      <c r="Q456" s="5">
        <f>Table1[[#This Row],[Quantity]]*Table1[[#This Row],[Unit_Price]]</f>
        <v>16250000</v>
      </c>
      <c r="R456" t="str">
        <f>IF(Table1[[#This Row],[Delivery_Days]]&lt;=3,"Fast",IF(Table1[[#This Row],[Delivery_Days]]&lt;=7,"Normal","Late"))</f>
        <v>Fast</v>
      </c>
    </row>
    <row r="457" spans="1:18" x14ac:dyDescent="0.35">
      <c r="A457" t="s">
        <v>467</v>
      </c>
      <c r="B457" t="str">
        <f t="shared" si="35"/>
        <v>APX1005</v>
      </c>
      <c r="C457" s="3" t="s">
        <v>468</v>
      </c>
      <c r="D457" s="3">
        <f>IF(ISNUMBER(C457), C457, DATE(RIGHT(C457, 4), MATCH(LEFT(C457, 3), {"Jan","Feb","Mar","Apr","May","Jun","Jul","Aug","Sep","Oct","Nov","Dec"}, 0), MID(C457, 5, 2)))</f>
        <v>45740</v>
      </c>
      <c r="E457" s="3" t="str">
        <f t="shared" si="36"/>
        <v>Mar</v>
      </c>
      <c r="F457" s="3" t="str">
        <f t="shared" si="37"/>
        <v>2025</v>
      </c>
      <c r="G457" s="4">
        <f t="shared" si="38"/>
        <v>3</v>
      </c>
      <c r="H457" s="3" t="str">
        <f t="shared" si="39"/>
        <v>Q-1</v>
      </c>
      <c r="I457" t="s">
        <v>11</v>
      </c>
      <c r="J457" t="s">
        <v>32</v>
      </c>
      <c r="K457">
        <v>2500</v>
      </c>
      <c r="L457" s="5">
        <v>38024</v>
      </c>
      <c r="M457">
        <v>10</v>
      </c>
      <c r="N457" t="s">
        <v>504</v>
      </c>
      <c r="O457" t="s">
        <v>506</v>
      </c>
      <c r="P457" t="s">
        <v>25</v>
      </c>
      <c r="Q457" s="5">
        <f>Table1[[#This Row],[Quantity]]*Table1[[#This Row],[Unit_Price]]</f>
        <v>95060000</v>
      </c>
      <c r="R457" t="str">
        <f>IF(Table1[[#This Row],[Delivery_Days]]&lt;=3,"Fast",IF(Table1[[#This Row],[Delivery_Days]]&lt;=7,"Normal","Late"))</f>
        <v>Late</v>
      </c>
    </row>
    <row r="458" spans="1:18" x14ac:dyDescent="0.35">
      <c r="A458" t="s">
        <v>469</v>
      </c>
      <c r="B458" t="str">
        <f t="shared" si="35"/>
        <v>APX1296</v>
      </c>
      <c r="C458" s="3">
        <v>45962</v>
      </c>
      <c r="D458" s="3">
        <f>IF(ISNUMBER(C458), C458, DATE(RIGHT(C458, 4), MATCH(LEFT(C458, 3), {"Jan","Feb","Mar","Apr","May","Jun","Jul","Aug","Sep","Oct","Nov","Dec"}, 0), MID(C458, 5, 2)))</f>
        <v>45962</v>
      </c>
      <c r="E458" s="3" t="str">
        <f t="shared" si="36"/>
        <v>Nov</v>
      </c>
      <c r="F458" s="3" t="str">
        <f t="shared" si="37"/>
        <v>2025</v>
      </c>
      <c r="G458" s="4">
        <f t="shared" si="38"/>
        <v>11</v>
      </c>
      <c r="H458" s="3" t="str">
        <f t="shared" si="39"/>
        <v>Q-4</v>
      </c>
      <c r="I458" t="s">
        <v>503</v>
      </c>
      <c r="J458" t="s">
        <v>64</v>
      </c>
      <c r="K458">
        <v>30</v>
      </c>
      <c r="L458" s="5">
        <v>800</v>
      </c>
      <c r="M458">
        <v>3</v>
      </c>
      <c r="N458" t="s">
        <v>40</v>
      </c>
      <c r="O458" t="s">
        <v>14</v>
      </c>
      <c r="P458" t="s">
        <v>74</v>
      </c>
      <c r="Q458" s="5">
        <f>Table1[[#This Row],[Quantity]]*Table1[[#This Row],[Unit_Price]]</f>
        <v>24000</v>
      </c>
      <c r="R458" t="str">
        <f>IF(Table1[[#This Row],[Delivery_Days]]&lt;=3,"Fast",IF(Table1[[#This Row],[Delivery_Days]]&lt;=7,"Normal","Late"))</f>
        <v>Fast</v>
      </c>
    </row>
    <row r="459" spans="1:18" x14ac:dyDescent="0.35">
      <c r="A459" t="s">
        <v>318</v>
      </c>
      <c r="B459" t="str">
        <f t="shared" si="35"/>
        <v>APX1298</v>
      </c>
      <c r="C459" s="3">
        <v>45784</v>
      </c>
      <c r="D459" s="3">
        <f>IF(ISNUMBER(C459), C459, DATE(RIGHT(C459, 4), MATCH(LEFT(C459, 3), {"Jan","Feb","Mar","Apr","May","Jun","Jul","Aug","Sep","Oct","Nov","Dec"}, 0), MID(C459, 5, 2)))</f>
        <v>45784</v>
      </c>
      <c r="E459" s="3" t="str">
        <f t="shared" si="36"/>
        <v>May</v>
      </c>
      <c r="F459" s="3" t="str">
        <f t="shared" si="37"/>
        <v>2025</v>
      </c>
      <c r="G459" s="4">
        <f t="shared" si="38"/>
        <v>5</v>
      </c>
      <c r="H459" s="3" t="str">
        <f t="shared" si="39"/>
        <v>Q-2</v>
      </c>
      <c r="I459" t="s">
        <v>17</v>
      </c>
      <c r="J459" t="s">
        <v>32</v>
      </c>
      <c r="K459">
        <v>12</v>
      </c>
      <c r="L459" s="5">
        <v>800</v>
      </c>
      <c r="M459">
        <v>14</v>
      </c>
      <c r="N459" t="s">
        <v>505</v>
      </c>
      <c r="O459" t="s">
        <v>506</v>
      </c>
      <c r="P459" t="s">
        <v>25</v>
      </c>
      <c r="Q459" s="5">
        <f>Table1[[#This Row],[Quantity]]*Table1[[#This Row],[Unit_Price]]</f>
        <v>9600</v>
      </c>
      <c r="R459" t="str">
        <f>IF(Table1[[#This Row],[Delivery_Days]]&lt;=3,"Fast",IF(Table1[[#This Row],[Delivery_Days]]&lt;=7,"Normal","Late"))</f>
        <v>Late</v>
      </c>
    </row>
    <row r="460" spans="1:18" x14ac:dyDescent="0.35">
      <c r="A460" t="s">
        <v>470</v>
      </c>
      <c r="B460" t="str">
        <f t="shared" si="35"/>
        <v>APX1089</v>
      </c>
      <c r="C460" s="3">
        <v>45956</v>
      </c>
      <c r="D460" s="3">
        <f>IF(ISNUMBER(C460), C460, DATE(RIGHT(C460, 4), MATCH(LEFT(C460, 3), {"Jan","Feb","Mar","Apr","May","Jun","Jul","Aug","Sep","Oct","Nov","Dec"}, 0), MID(C460, 5, 2)))</f>
        <v>45956</v>
      </c>
      <c r="E460" s="3" t="str">
        <f t="shared" si="36"/>
        <v>Oct</v>
      </c>
      <c r="F460" s="3" t="str">
        <f t="shared" si="37"/>
        <v>2025</v>
      </c>
      <c r="G460" s="4">
        <f t="shared" si="38"/>
        <v>10</v>
      </c>
      <c r="H460" s="3" t="str">
        <f t="shared" si="39"/>
        <v>Q-4</v>
      </c>
      <c r="I460" t="s">
        <v>510</v>
      </c>
      <c r="J460" t="s">
        <v>64</v>
      </c>
      <c r="K460">
        <v>2500</v>
      </c>
      <c r="L460" s="5">
        <v>850000</v>
      </c>
      <c r="M460">
        <v>3</v>
      </c>
      <c r="N460" t="s">
        <v>40</v>
      </c>
      <c r="O460" t="s">
        <v>46</v>
      </c>
      <c r="P460" t="s">
        <v>42</v>
      </c>
      <c r="Q460" s="5">
        <f>Table1[[#This Row],[Quantity]]*Table1[[#This Row],[Unit_Price]]</f>
        <v>2125000000</v>
      </c>
      <c r="R460" t="str">
        <f>IF(Table1[[#This Row],[Delivery_Days]]&lt;=3,"Fast",IF(Table1[[#This Row],[Delivery_Days]]&lt;=7,"Normal","Late"))</f>
        <v>Fast</v>
      </c>
    </row>
    <row r="461" spans="1:18" x14ac:dyDescent="0.35">
      <c r="A461" t="s">
        <v>472</v>
      </c>
      <c r="B461" t="str">
        <f t="shared" si="35"/>
        <v>APX1228</v>
      </c>
      <c r="C461" s="3">
        <v>45877</v>
      </c>
      <c r="D461" s="3">
        <f>IF(ISNUMBER(C461), C461, DATE(RIGHT(C461, 4), MATCH(LEFT(C461, 3), {"Jan","Feb","Mar","Apr","May","Jun","Jul","Aug","Sep","Oct","Nov","Dec"}, 0), MID(C461, 5, 2)))</f>
        <v>45877</v>
      </c>
      <c r="E461" s="3" t="str">
        <f t="shared" si="36"/>
        <v>Aug</v>
      </c>
      <c r="F461" s="3" t="str">
        <f t="shared" si="37"/>
        <v>2025</v>
      </c>
      <c r="G461" s="4">
        <f t="shared" si="38"/>
        <v>8</v>
      </c>
      <c r="H461" s="3" t="str">
        <f t="shared" si="39"/>
        <v>Q-3</v>
      </c>
      <c r="I461" t="s">
        <v>76</v>
      </c>
      <c r="J461" t="s">
        <v>39</v>
      </c>
      <c r="K461">
        <v>12</v>
      </c>
      <c r="L461" s="5">
        <v>12763</v>
      </c>
      <c r="M461">
        <v>95</v>
      </c>
      <c r="N461" t="s">
        <v>40</v>
      </c>
      <c r="O461" t="s">
        <v>46</v>
      </c>
      <c r="P461" t="s">
        <v>25</v>
      </c>
      <c r="Q461" s="5">
        <f>Table1[[#This Row],[Quantity]]*Table1[[#This Row],[Unit_Price]]</f>
        <v>153156</v>
      </c>
      <c r="R461" t="str">
        <f>IF(Table1[[#This Row],[Delivery_Days]]&lt;=3,"Fast",IF(Table1[[#This Row],[Delivery_Days]]&lt;=7,"Normal","Late"))</f>
        <v>Late</v>
      </c>
    </row>
    <row r="462" spans="1:18" x14ac:dyDescent="0.35">
      <c r="A462" t="s">
        <v>156</v>
      </c>
      <c r="B462" t="str">
        <f t="shared" si="35"/>
        <v>APX1364</v>
      </c>
      <c r="C462" s="3">
        <v>45869</v>
      </c>
      <c r="D462" s="3">
        <f>IF(ISNUMBER(C462), C462, DATE(RIGHT(C462, 4), MATCH(LEFT(C462, 3), {"Jan","Feb","Mar","Apr","May","Jun","Jul","Aug","Sep","Oct","Nov","Dec"}, 0), MID(C462, 5, 2)))</f>
        <v>45869</v>
      </c>
      <c r="E462" s="3" t="str">
        <f t="shared" si="36"/>
        <v>Jul</v>
      </c>
      <c r="F462" s="3" t="str">
        <f t="shared" si="37"/>
        <v>2025</v>
      </c>
      <c r="G462" s="4">
        <f t="shared" si="38"/>
        <v>7</v>
      </c>
      <c r="H462" s="3" t="str">
        <f t="shared" si="39"/>
        <v>Q-3</v>
      </c>
      <c r="I462" t="s">
        <v>503</v>
      </c>
      <c r="J462" t="s">
        <v>64</v>
      </c>
      <c r="K462">
        <v>5</v>
      </c>
      <c r="L462" s="5">
        <v>9826</v>
      </c>
      <c r="M462">
        <v>95</v>
      </c>
      <c r="N462" t="s">
        <v>40</v>
      </c>
      <c r="O462" t="s">
        <v>46</v>
      </c>
      <c r="P462" t="s">
        <v>25</v>
      </c>
      <c r="Q462" s="5">
        <f>Table1[[#This Row],[Quantity]]*Table1[[#This Row],[Unit_Price]]</f>
        <v>49130</v>
      </c>
      <c r="R462" t="str">
        <f>IF(Table1[[#This Row],[Delivery_Days]]&lt;=3,"Fast",IF(Table1[[#This Row],[Delivery_Days]]&lt;=7,"Normal","Late"))</f>
        <v>Late</v>
      </c>
    </row>
    <row r="463" spans="1:18" x14ac:dyDescent="0.35">
      <c r="A463" t="s">
        <v>373</v>
      </c>
      <c r="B463" t="str">
        <f t="shared" si="35"/>
        <v>APX1076</v>
      </c>
      <c r="C463" s="3">
        <v>45783</v>
      </c>
      <c r="D463" s="3">
        <f>IF(ISNUMBER(C463), C463, DATE(RIGHT(C463, 4), MATCH(LEFT(C463, 3), {"Jan","Feb","Mar","Apr","May","Jun","Jul","Aug","Sep","Oct","Nov","Dec"}, 0), MID(C463, 5, 2)))</f>
        <v>45783</v>
      </c>
      <c r="E463" s="3" t="str">
        <f t="shared" si="36"/>
        <v>May</v>
      </c>
      <c r="F463" s="3" t="str">
        <f t="shared" si="37"/>
        <v>2025</v>
      </c>
      <c r="G463" s="4">
        <f t="shared" si="38"/>
        <v>5</v>
      </c>
      <c r="H463" s="3" t="str">
        <f t="shared" si="39"/>
        <v>Q-2</v>
      </c>
      <c r="I463" t="s">
        <v>502</v>
      </c>
      <c r="J463" t="s">
        <v>32</v>
      </c>
      <c r="K463">
        <v>12</v>
      </c>
      <c r="L463" s="5">
        <v>800</v>
      </c>
      <c r="M463">
        <v>9</v>
      </c>
      <c r="N463" t="s">
        <v>40</v>
      </c>
      <c r="O463" t="s">
        <v>46</v>
      </c>
      <c r="P463" t="s">
        <v>74</v>
      </c>
      <c r="Q463" s="5">
        <f>Table1[[#This Row],[Quantity]]*Table1[[#This Row],[Unit_Price]]</f>
        <v>9600</v>
      </c>
      <c r="R463" t="str">
        <f>IF(Table1[[#This Row],[Delivery_Days]]&lt;=3,"Fast",IF(Table1[[#This Row],[Delivery_Days]]&lt;=7,"Normal","Late"))</f>
        <v>Late</v>
      </c>
    </row>
    <row r="464" spans="1:18" x14ac:dyDescent="0.35">
      <c r="A464" t="s">
        <v>47</v>
      </c>
      <c r="B464" t="str">
        <f t="shared" si="35"/>
        <v>APX1336</v>
      </c>
      <c r="C464" s="3" t="s">
        <v>416</v>
      </c>
      <c r="D464" s="3">
        <f>IF(ISNUMBER(C464), C464, DATE(RIGHT(C464, 4), MATCH(LEFT(C464, 3), {"Jan","Feb","Mar","Apr","May","Jun","Jul","Aug","Sep","Oct","Nov","Dec"}, 0), MID(C464, 5, 2)))</f>
        <v>45991</v>
      </c>
      <c r="E464" s="3" t="str">
        <f t="shared" si="36"/>
        <v>Nov</v>
      </c>
      <c r="F464" s="3" t="str">
        <f t="shared" si="37"/>
        <v>2025</v>
      </c>
      <c r="G464" s="4">
        <f t="shared" si="38"/>
        <v>11</v>
      </c>
      <c r="H464" s="3" t="str">
        <f t="shared" si="39"/>
        <v>Q-4</v>
      </c>
      <c r="I464" t="s">
        <v>76</v>
      </c>
      <c r="J464" t="s">
        <v>32</v>
      </c>
      <c r="K464">
        <v>12</v>
      </c>
      <c r="L464" s="5">
        <v>6500</v>
      </c>
      <c r="M464">
        <v>6</v>
      </c>
      <c r="N464" t="s">
        <v>70</v>
      </c>
      <c r="O464" t="s">
        <v>14</v>
      </c>
      <c r="P464" t="s">
        <v>25</v>
      </c>
      <c r="Q464" s="5">
        <f>Table1[[#This Row],[Quantity]]*Table1[[#This Row],[Unit_Price]]</f>
        <v>78000</v>
      </c>
      <c r="R464" t="str">
        <f>IF(Table1[[#This Row],[Delivery_Days]]&lt;=3,"Fast",IF(Table1[[#This Row],[Delivery_Days]]&lt;=7,"Normal","Late"))</f>
        <v>Normal</v>
      </c>
    </row>
    <row r="465" spans="1:18" x14ac:dyDescent="0.35">
      <c r="A465">
        <v>1022</v>
      </c>
      <c r="B465" t="str">
        <f t="shared" si="35"/>
        <v>APX1022</v>
      </c>
      <c r="C465" s="3">
        <v>45908</v>
      </c>
      <c r="D465" s="3">
        <f>IF(ISNUMBER(C465), C465, DATE(RIGHT(C465, 4), MATCH(LEFT(C465, 3), {"Jan","Feb","Mar","Apr","May","Jun","Jul","Aug","Sep","Oct","Nov","Dec"}, 0), MID(C465, 5, 2)))</f>
        <v>45908</v>
      </c>
      <c r="E465" s="3" t="str">
        <f t="shared" si="36"/>
        <v>Sep</v>
      </c>
      <c r="F465" s="3" t="str">
        <f t="shared" si="37"/>
        <v>2025</v>
      </c>
      <c r="G465" s="4">
        <f t="shared" si="38"/>
        <v>9</v>
      </c>
      <c r="H465" s="3" t="str">
        <f t="shared" si="39"/>
        <v>Q-4</v>
      </c>
      <c r="I465" t="s">
        <v>76</v>
      </c>
      <c r="J465" t="s">
        <v>32</v>
      </c>
      <c r="K465">
        <v>39</v>
      </c>
      <c r="L465" s="5">
        <v>800</v>
      </c>
      <c r="M465">
        <v>95</v>
      </c>
      <c r="N465" t="s">
        <v>504</v>
      </c>
      <c r="O465" t="s">
        <v>14</v>
      </c>
      <c r="P465" t="s">
        <v>25</v>
      </c>
      <c r="Q465" s="5">
        <f>Table1[[#This Row],[Quantity]]*Table1[[#This Row],[Unit_Price]]</f>
        <v>31200</v>
      </c>
      <c r="R465" t="str">
        <f>IF(Table1[[#This Row],[Delivery_Days]]&lt;=3,"Fast",IF(Table1[[#This Row],[Delivery_Days]]&lt;=7,"Normal","Late"))</f>
        <v>Late</v>
      </c>
    </row>
    <row r="466" spans="1:18" x14ac:dyDescent="0.35">
      <c r="A466" t="s">
        <v>114</v>
      </c>
      <c r="B466" t="str">
        <f t="shared" si="35"/>
        <v>APX1261</v>
      </c>
      <c r="C466" s="3">
        <v>45779</v>
      </c>
      <c r="D466" s="3">
        <f>IF(ISNUMBER(C466), C466, DATE(RIGHT(C466, 4), MATCH(LEFT(C466, 3), {"Jan","Feb","Mar","Apr","May","Jun","Jul","Aug","Sep","Oct","Nov","Dec"}, 0), MID(C466, 5, 2)))</f>
        <v>45779</v>
      </c>
      <c r="E466" s="3" t="str">
        <f t="shared" si="36"/>
        <v>May</v>
      </c>
      <c r="F466" s="3" t="str">
        <f t="shared" si="37"/>
        <v>2025</v>
      </c>
      <c r="G466" s="4">
        <f t="shared" si="38"/>
        <v>5</v>
      </c>
      <c r="H466" s="3" t="str">
        <f t="shared" si="39"/>
        <v>Q-2</v>
      </c>
      <c r="I466" t="s">
        <v>17</v>
      </c>
      <c r="J466" t="s">
        <v>89</v>
      </c>
      <c r="K466">
        <v>115</v>
      </c>
      <c r="L466" s="5">
        <v>850000</v>
      </c>
      <c r="M466">
        <v>95</v>
      </c>
      <c r="N466" t="s">
        <v>560</v>
      </c>
      <c r="O466" t="s">
        <v>46</v>
      </c>
      <c r="P466" t="s">
        <v>25</v>
      </c>
      <c r="Q466" s="5">
        <f>Table1[[#This Row],[Quantity]]*Table1[[#This Row],[Unit_Price]]</f>
        <v>97750000</v>
      </c>
      <c r="R466" t="str">
        <f>IF(Table1[[#This Row],[Delivery_Days]]&lt;=3,"Fast",IF(Table1[[#This Row],[Delivery_Days]]&lt;=7,"Normal","Late"))</f>
        <v>Late</v>
      </c>
    </row>
    <row r="467" spans="1:18" x14ac:dyDescent="0.35">
      <c r="A467" t="s">
        <v>191</v>
      </c>
      <c r="B467" t="str">
        <f t="shared" si="35"/>
        <v>APX1093</v>
      </c>
      <c r="C467" s="3">
        <v>45756</v>
      </c>
      <c r="D467" s="3">
        <f>IF(ISNUMBER(C467), C467, DATE(RIGHT(C467, 4), MATCH(LEFT(C467, 3), {"Jan","Feb","Mar","Apr","May","Jun","Jul","Aug","Sep","Oct","Nov","Dec"}, 0), MID(C467, 5, 2)))</f>
        <v>45756</v>
      </c>
      <c r="E467" s="3" t="str">
        <f t="shared" si="36"/>
        <v>Apr</v>
      </c>
      <c r="F467" s="3" t="str">
        <f t="shared" si="37"/>
        <v>2025</v>
      </c>
      <c r="G467" s="4">
        <f t="shared" si="38"/>
        <v>4</v>
      </c>
      <c r="H467" s="3" t="str">
        <f t="shared" si="39"/>
        <v>Q-2</v>
      </c>
      <c r="I467" t="s">
        <v>76</v>
      </c>
      <c r="J467" t="s">
        <v>39</v>
      </c>
      <c r="K467">
        <v>2500</v>
      </c>
      <c r="L467" s="5">
        <v>800</v>
      </c>
      <c r="M467">
        <v>95</v>
      </c>
      <c r="N467" t="s">
        <v>40</v>
      </c>
      <c r="O467" t="s">
        <v>506</v>
      </c>
      <c r="P467" t="s">
        <v>25</v>
      </c>
      <c r="Q467" s="5">
        <f>Table1[[#This Row],[Quantity]]*Table1[[#This Row],[Unit_Price]]</f>
        <v>2000000</v>
      </c>
      <c r="R467" t="str">
        <f>IF(Table1[[#This Row],[Delivery_Days]]&lt;=3,"Fast",IF(Table1[[#This Row],[Delivery_Days]]&lt;=7,"Normal","Late"))</f>
        <v>Late</v>
      </c>
    </row>
    <row r="468" spans="1:18" x14ac:dyDescent="0.35">
      <c r="A468" t="s">
        <v>168</v>
      </c>
      <c r="B468" t="str">
        <f t="shared" si="35"/>
        <v>APX1348</v>
      </c>
      <c r="C468" s="3" t="s">
        <v>474</v>
      </c>
      <c r="D468" s="3">
        <f>IF(ISNUMBER(C468), C468, DATE(RIGHT(C468, 4), MATCH(LEFT(C468, 3), {"Jan","Feb","Mar","Apr","May","Jun","Jul","Aug","Sep","Oct","Nov","Dec"}, 0), MID(C468, 5, 2)))</f>
        <v>45780</v>
      </c>
      <c r="E468" s="3" t="str">
        <f t="shared" si="36"/>
        <v>May</v>
      </c>
      <c r="F468" s="3" t="str">
        <f t="shared" si="37"/>
        <v>2025</v>
      </c>
      <c r="G468" s="4">
        <f t="shared" si="38"/>
        <v>5</v>
      </c>
      <c r="H468" s="3" t="str">
        <f t="shared" si="39"/>
        <v>Q-2</v>
      </c>
      <c r="I468" t="s">
        <v>510</v>
      </c>
      <c r="J468" t="s">
        <v>32</v>
      </c>
      <c r="K468">
        <v>30</v>
      </c>
      <c r="L468" s="5">
        <v>850000</v>
      </c>
      <c r="M468">
        <v>7</v>
      </c>
      <c r="N468" t="s">
        <v>560</v>
      </c>
      <c r="O468" t="s">
        <v>506</v>
      </c>
      <c r="P468" t="s">
        <v>25</v>
      </c>
      <c r="Q468" s="5">
        <f>Table1[[#This Row],[Quantity]]*Table1[[#This Row],[Unit_Price]]</f>
        <v>25500000</v>
      </c>
      <c r="R468" t="str">
        <f>IF(Table1[[#This Row],[Delivery_Days]]&lt;=3,"Fast",IF(Table1[[#This Row],[Delivery_Days]]&lt;=7,"Normal","Late"))</f>
        <v>Normal</v>
      </c>
    </row>
    <row r="469" spans="1:18" x14ac:dyDescent="0.35">
      <c r="A469" t="s">
        <v>114</v>
      </c>
      <c r="B469" t="str">
        <f t="shared" si="35"/>
        <v>APX1261</v>
      </c>
      <c r="C469" s="3" t="s">
        <v>475</v>
      </c>
      <c r="D469" s="3">
        <f>IF(ISNUMBER(C469), C469, DATE(RIGHT(C469, 4), MATCH(LEFT(C469, 3), {"Jan","Feb","Mar","Apr","May","Jun","Jul","Aug","Sep","Oct","Nov","Dec"}, 0), MID(C469, 5, 2)))</f>
        <v>45918</v>
      </c>
      <c r="E469" s="3" t="str">
        <f t="shared" si="36"/>
        <v>Sep</v>
      </c>
      <c r="F469" s="3" t="str">
        <f t="shared" si="37"/>
        <v>2025</v>
      </c>
      <c r="G469" s="4">
        <f t="shared" si="38"/>
        <v>9</v>
      </c>
      <c r="H469" s="3" t="str">
        <f t="shared" si="39"/>
        <v>Q-4</v>
      </c>
      <c r="I469" t="s">
        <v>503</v>
      </c>
      <c r="J469" t="s">
        <v>73</v>
      </c>
      <c r="K469">
        <v>12</v>
      </c>
      <c r="L469" s="5">
        <v>800</v>
      </c>
      <c r="M469">
        <v>12</v>
      </c>
      <c r="N469" t="s">
        <v>40</v>
      </c>
      <c r="O469" t="s">
        <v>506</v>
      </c>
      <c r="P469" t="s">
        <v>74</v>
      </c>
      <c r="Q469" s="5">
        <f>Table1[[#This Row],[Quantity]]*Table1[[#This Row],[Unit_Price]]</f>
        <v>9600</v>
      </c>
      <c r="R469" t="str">
        <f>IF(Table1[[#This Row],[Delivery_Days]]&lt;=3,"Fast",IF(Table1[[#This Row],[Delivery_Days]]&lt;=7,"Normal","Late"))</f>
        <v>Late</v>
      </c>
    </row>
    <row r="470" spans="1:18" x14ac:dyDescent="0.35">
      <c r="A470" t="s">
        <v>310</v>
      </c>
      <c r="B470" t="str">
        <f t="shared" si="35"/>
        <v>APX1238</v>
      </c>
      <c r="C470" s="3" t="s">
        <v>476</v>
      </c>
      <c r="D470" s="3">
        <f>IF(ISNUMBER(C470), C470, DATE(RIGHT(C470, 4), MATCH(LEFT(C470, 3), {"Jan","Feb","Mar","Apr","May","Jun","Jul","Aug","Sep","Oct","Nov","Dec"}, 0), MID(C470, 5, 2)))</f>
        <v>45719</v>
      </c>
      <c r="E470" s="3" t="str">
        <f t="shared" si="36"/>
        <v>Mar</v>
      </c>
      <c r="F470" s="3" t="str">
        <f t="shared" si="37"/>
        <v>2025</v>
      </c>
      <c r="G470" s="4">
        <f t="shared" si="38"/>
        <v>3</v>
      </c>
      <c r="H470" s="3" t="str">
        <f t="shared" si="39"/>
        <v>Q-1</v>
      </c>
      <c r="I470" t="s">
        <v>503</v>
      </c>
      <c r="J470" t="s">
        <v>64</v>
      </c>
      <c r="K470">
        <v>30</v>
      </c>
      <c r="L470" s="5">
        <v>850000</v>
      </c>
      <c r="M470">
        <v>3</v>
      </c>
      <c r="N470" t="s">
        <v>40</v>
      </c>
      <c r="O470" t="s">
        <v>506</v>
      </c>
      <c r="P470" t="s">
        <v>74</v>
      </c>
      <c r="Q470" s="5">
        <f>Table1[[#This Row],[Quantity]]*Table1[[#This Row],[Unit_Price]]</f>
        <v>25500000</v>
      </c>
      <c r="R470" t="str">
        <f>IF(Table1[[#This Row],[Delivery_Days]]&lt;=3,"Fast",IF(Table1[[#This Row],[Delivery_Days]]&lt;=7,"Normal","Late"))</f>
        <v>Fast</v>
      </c>
    </row>
    <row r="471" spans="1:18" x14ac:dyDescent="0.35">
      <c r="A471">
        <v>1342</v>
      </c>
      <c r="B471" t="str">
        <f t="shared" si="35"/>
        <v>APX1342</v>
      </c>
      <c r="C471" s="3">
        <v>45806</v>
      </c>
      <c r="D471" s="3">
        <f>IF(ISNUMBER(C471), C471, DATE(RIGHT(C471, 4), MATCH(LEFT(C471, 3), {"Jan","Feb","Mar","Apr","May","Jun","Jul","Aug","Sep","Oct","Nov","Dec"}, 0), MID(C471, 5, 2)))</f>
        <v>45806</v>
      </c>
      <c r="E471" s="3" t="str">
        <f t="shared" si="36"/>
        <v>May</v>
      </c>
      <c r="F471" s="3" t="str">
        <f t="shared" si="37"/>
        <v>2025</v>
      </c>
      <c r="G471" s="4">
        <f t="shared" si="38"/>
        <v>5</v>
      </c>
      <c r="H471" s="3" t="str">
        <f t="shared" si="39"/>
        <v>Q-2</v>
      </c>
      <c r="I471" t="s">
        <v>502</v>
      </c>
      <c r="J471" t="s">
        <v>89</v>
      </c>
      <c r="K471">
        <v>12</v>
      </c>
      <c r="L471" s="5">
        <v>800</v>
      </c>
      <c r="M471">
        <v>13</v>
      </c>
      <c r="N471" t="s">
        <v>40</v>
      </c>
      <c r="O471" t="s">
        <v>46</v>
      </c>
      <c r="P471" t="s">
        <v>25</v>
      </c>
      <c r="Q471" s="5">
        <f>Table1[[#This Row],[Quantity]]*Table1[[#This Row],[Unit_Price]]</f>
        <v>9600</v>
      </c>
      <c r="R471" t="str">
        <f>IF(Table1[[#This Row],[Delivery_Days]]&lt;=3,"Fast",IF(Table1[[#This Row],[Delivery_Days]]&lt;=7,"Normal","Late"))</f>
        <v>Late</v>
      </c>
    </row>
    <row r="472" spans="1:18" x14ac:dyDescent="0.35">
      <c r="A472" t="s">
        <v>72</v>
      </c>
      <c r="B472" t="str">
        <f t="shared" si="35"/>
        <v>APX1246</v>
      </c>
      <c r="C472" s="3">
        <v>45860</v>
      </c>
      <c r="D472" s="3">
        <f>IF(ISNUMBER(C472), C472, DATE(RIGHT(C472, 4), MATCH(LEFT(C472, 3), {"Jan","Feb","Mar","Apr","May","Jun","Jul","Aug","Sep","Oct","Nov","Dec"}, 0), MID(C472, 5, 2)))</f>
        <v>45860</v>
      </c>
      <c r="E472" s="3" t="str">
        <f t="shared" si="36"/>
        <v>Jul</v>
      </c>
      <c r="F472" s="3" t="str">
        <f t="shared" si="37"/>
        <v>2025</v>
      </c>
      <c r="G472" s="4">
        <f t="shared" si="38"/>
        <v>7</v>
      </c>
      <c r="H472" s="3" t="str">
        <f t="shared" si="39"/>
        <v>Q-3</v>
      </c>
      <c r="I472" t="s">
        <v>503</v>
      </c>
      <c r="J472" t="s">
        <v>89</v>
      </c>
      <c r="K472">
        <v>2500</v>
      </c>
      <c r="L472" s="5">
        <v>6500</v>
      </c>
      <c r="M472">
        <v>95</v>
      </c>
      <c r="N472" t="s">
        <v>40</v>
      </c>
      <c r="O472" t="s">
        <v>506</v>
      </c>
      <c r="P472" t="s">
        <v>25</v>
      </c>
      <c r="Q472" s="5">
        <f>Table1[[#This Row],[Quantity]]*Table1[[#This Row],[Unit_Price]]</f>
        <v>16250000</v>
      </c>
      <c r="R472" t="str">
        <f>IF(Table1[[#This Row],[Delivery_Days]]&lt;=3,"Fast",IF(Table1[[#This Row],[Delivery_Days]]&lt;=7,"Normal","Late"))</f>
        <v>Late</v>
      </c>
    </row>
    <row r="473" spans="1:18" x14ac:dyDescent="0.35">
      <c r="A473" t="s">
        <v>461</v>
      </c>
      <c r="B473" t="str">
        <f t="shared" si="35"/>
        <v>APX1347</v>
      </c>
      <c r="C473" s="3" t="s">
        <v>479</v>
      </c>
      <c r="D473" s="3">
        <f>IF(ISNUMBER(C473), C473, DATE(RIGHT(C473, 4), MATCH(LEFT(C473, 3), {"Jan","Feb","Mar","Apr","May","Jun","Jul","Aug","Sep","Oct","Nov","Dec"}, 0), MID(C473, 5, 2)))</f>
        <v>45958</v>
      </c>
      <c r="E473" s="3" t="str">
        <f t="shared" si="36"/>
        <v>Oct</v>
      </c>
      <c r="F473" s="3" t="str">
        <f t="shared" si="37"/>
        <v>2025</v>
      </c>
      <c r="G473" s="4">
        <f t="shared" si="38"/>
        <v>10</v>
      </c>
      <c r="H473" s="3" t="str">
        <f t="shared" si="39"/>
        <v>Q-4</v>
      </c>
      <c r="I473" t="s">
        <v>76</v>
      </c>
      <c r="J473" t="s">
        <v>89</v>
      </c>
      <c r="K473">
        <v>22</v>
      </c>
      <c r="L473" s="5">
        <v>4500</v>
      </c>
      <c r="M473">
        <v>95</v>
      </c>
      <c r="N473" t="s">
        <v>70</v>
      </c>
      <c r="O473" t="s">
        <v>506</v>
      </c>
      <c r="P473" t="s">
        <v>25</v>
      </c>
      <c r="Q473" s="5">
        <f>Table1[[#This Row],[Quantity]]*Table1[[#This Row],[Unit_Price]]</f>
        <v>99000</v>
      </c>
      <c r="R473" t="str">
        <f>IF(Table1[[#This Row],[Delivery_Days]]&lt;=3,"Fast",IF(Table1[[#This Row],[Delivery_Days]]&lt;=7,"Normal","Late"))</f>
        <v>Late</v>
      </c>
    </row>
    <row r="474" spans="1:18" x14ac:dyDescent="0.35">
      <c r="A474" t="s">
        <v>371</v>
      </c>
      <c r="B474" t="str">
        <f t="shared" si="35"/>
        <v>APX1406</v>
      </c>
      <c r="C474" s="3" t="s">
        <v>480</v>
      </c>
      <c r="D474" s="3">
        <f>IF(ISNUMBER(C474), C474, DATE(RIGHT(C474, 4), MATCH(LEFT(C474, 3), {"Jan","Feb","Mar","Apr","May","Jun","Jul","Aug","Sep","Oct","Nov","Dec"}, 0), MID(C474, 5, 2)))</f>
        <v>45987</v>
      </c>
      <c r="E474" s="3" t="str">
        <f t="shared" si="36"/>
        <v>Nov</v>
      </c>
      <c r="F474" s="3" t="str">
        <f t="shared" si="37"/>
        <v>2025</v>
      </c>
      <c r="G474" s="4">
        <f t="shared" si="38"/>
        <v>11</v>
      </c>
      <c r="H474" s="3" t="str">
        <f t="shared" si="39"/>
        <v>Q-4</v>
      </c>
      <c r="I474" t="s">
        <v>503</v>
      </c>
      <c r="J474" t="s">
        <v>64</v>
      </c>
      <c r="K474">
        <v>2500</v>
      </c>
      <c r="L474" s="5">
        <v>850000</v>
      </c>
      <c r="M474">
        <v>3</v>
      </c>
      <c r="N474" t="s">
        <v>505</v>
      </c>
      <c r="O474" t="s">
        <v>14</v>
      </c>
      <c r="P474" t="s">
        <v>25</v>
      </c>
      <c r="Q474" s="5">
        <f>Table1[[#This Row],[Quantity]]*Table1[[#This Row],[Unit_Price]]</f>
        <v>2125000000</v>
      </c>
      <c r="R474" t="str">
        <f>IF(Table1[[#This Row],[Delivery_Days]]&lt;=3,"Fast",IF(Table1[[#This Row],[Delivery_Days]]&lt;=7,"Normal","Late"))</f>
        <v>Fast</v>
      </c>
    </row>
    <row r="475" spans="1:18" x14ac:dyDescent="0.35">
      <c r="A475">
        <v>1393</v>
      </c>
      <c r="B475" t="str">
        <f t="shared" si="35"/>
        <v>APX1393</v>
      </c>
      <c r="C475" s="3">
        <v>45870</v>
      </c>
      <c r="D475" s="3">
        <f>IF(ISNUMBER(C475), C475, DATE(RIGHT(C475, 4), MATCH(LEFT(C475, 3), {"Jan","Feb","Mar","Apr","May","Jun","Jul","Aug","Sep","Oct","Nov","Dec"}, 0), MID(C475, 5, 2)))</f>
        <v>45870</v>
      </c>
      <c r="E475" s="3" t="str">
        <f t="shared" si="36"/>
        <v>Aug</v>
      </c>
      <c r="F475" s="3" t="str">
        <f t="shared" si="37"/>
        <v>2025</v>
      </c>
      <c r="G475" s="4">
        <f t="shared" si="38"/>
        <v>8</v>
      </c>
      <c r="H475" s="3" t="str">
        <f t="shared" si="39"/>
        <v>Q-3</v>
      </c>
      <c r="I475" t="s">
        <v>17</v>
      </c>
      <c r="J475" t="s">
        <v>28</v>
      </c>
      <c r="K475">
        <v>30</v>
      </c>
      <c r="L475" s="5">
        <v>800</v>
      </c>
      <c r="M475">
        <v>3</v>
      </c>
      <c r="N475" t="s">
        <v>40</v>
      </c>
      <c r="O475" t="s">
        <v>46</v>
      </c>
      <c r="P475" t="s">
        <v>25</v>
      </c>
      <c r="Q475" s="5">
        <f>Table1[[#This Row],[Quantity]]*Table1[[#This Row],[Unit_Price]]</f>
        <v>24000</v>
      </c>
      <c r="R475" t="str">
        <f>IF(Table1[[#This Row],[Delivery_Days]]&lt;=3,"Fast",IF(Table1[[#This Row],[Delivery_Days]]&lt;=7,"Normal","Late"))</f>
        <v>Fast</v>
      </c>
    </row>
    <row r="476" spans="1:18" x14ac:dyDescent="0.35">
      <c r="A476" t="s">
        <v>481</v>
      </c>
      <c r="B476" t="str">
        <f t="shared" si="35"/>
        <v>APX1052</v>
      </c>
      <c r="C476" s="3" t="s">
        <v>138</v>
      </c>
      <c r="D476" s="3">
        <f>IF(ISNUMBER(C476), C476, DATE(RIGHT(C476, 4), MATCH(LEFT(C476, 3), {"Jan","Feb","Mar","Apr","May","Jun","Jul","Aug","Sep","Oct","Nov","Dec"}, 0), MID(C476, 5, 2)))</f>
        <v>45867</v>
      </c>
      <c r="E476" s="3" t="str">
        <f t="shared" si="36"/>
        <v>Jul</v>
      </c>
      <c r="F476" s="3" t="str">
        <f t="shared" si="37"/>
        <v>2025</v>
      </c>
      <c r="G476" s="4">
        <f t="shared" si="38"/>
        <v>7</v>
      </c>
      <c r="H476" s="3" t="str">
        <f t="shared" si="39"/>
        <v>Q-3</v>
      </c>
      <c r="I476" t="s">
        <v>76</v>
      </c>
      <c r="J476" t="s">
        <v>32</v>
      </c>
      <c r="K476">
        <v>12</v>
      </c>
      <c r="L476" s="5">
        <v>800</v>
      </c>
      <c r="M476">
        <v>95</v>
      </c>
      <c r="N476" t="s">
        <v>70</v>
      </c>
      <c r="O476" t="s">
        <v>46</v>
      </c>
      <c r="P476" t="s">
        <v>25</v>
      </c>
      <c r="Q476" s="5">
        <f>Table1[[#This Row],[Quantity]]*Table1[[#This Row],[Unit_Price]]</f>
        <v>9600</v>
      </c>
      <c r="R476" t="str">
        <f>IF(Table1[[#This Row],[Delivery_Days]]&lt;=3,"Fast",IF(Table1[[#This Row],[Delivery_Days]]&lt;=7,"Normal","Late"))</f>
        <v>Late</v>
      </c>
    </row>
    <row r="477" spans="1:18" x14ac:dyDescent="0.35">
      <c r="A477" t="s">
        <v>158</v>
      </c>
      <c r="B477" t="str">
        <f t="shared" si="35"/>
        <v>APX1375</v>
      </c>
      <c r="C477" s="3">
        <v>46008</v>
      </c>
      <c r="D477" s="3">
        <f>IF(ISNUMBER(C477), C477, DATE(RIGHT(C477, 4), MATCH(LEFT(C477, 3), {"Jan","Feb","Mar","Apr","May","Jun","Jul","Aug","Sep","Oct","Nov","Dec"}, 0), MID(C477, 5, 2)))</f>
        <v>46008</v>
      </c>
      <c r="E477" s="3" t="str">
        <f t="shared" si="36"/>
        <v>Dec</v>
      </c>
      <c r="F477" s="3" t="str">
        <f t="shared" si="37"/>
        <v>2025</v>
      </c>
      <c r="G477" s="4">
        <f t="shared" si="38"/>
        <v>12</v>
      </c>
      <c r="H477" s="3" t="str">
        <f t="shared" si="39"/>
        <v>Q-4</v>
      </c>
      <c r="I477" t="s">
        <v>76</v>
      </c>
      <c r="J477" t="s">
        <v>73</v>
      </c>
      <c r="K477">
        <v>12</v>
      </c>
      <c r="L477" s="5">
        <v>35648</v>
      </c>
      <c r="M477">
        <v>3</v>
      </c>
      <c r="N477" t="s">
        <v>560</v>
      </c>
      <c r="O477" t="s">
        <v>506</v>
      </c>
      <c r="P477" t="s">
        <v>25</v>
      </c>
      <c r="Q477" s="5">
        <f>Table1[[#This Row],[Quantity]]*Table1[[#This Row],[Unit_Price]]</f>
        <v>427776</v>
      </c>
      <c r="R477" t="str">
        <f>IF(Table1[[#This Row],[Delivery_Days]]&lt;=3,"Fast",IF(Table1[[#This Row],[Delivery_Days]]&lt;=7,"Normal","Late"))</f>
        <v>Fast</v>
      </c>
    </row>
    <row r="478" spans="1:18" x14ac:dyDescent="0.35">
      <c r="A478" t="s">
        <v>125</v>
      </c>
      <c r="B478" t="str">
        <f t="shared" si="35"/>
        <v>APX1254</v>
      </c>
      <c r="C478" s="3">
        <v>45883</v>
      </c>
      <c r="D478" s="3">
        <f>IF(ISNUMBER(C478), C478, DATE(RIGHT(C478, 4), MATCH(LEFT(C478, 3), {"Jan","Feb","Mar","Apr","May","Jun","Jul","Aug","Sep","Oct","Nov","Dec"}, 0), MID(C478, 5, 2)))</f>
        <v>45883</v>
      </c>
      <c r="E478" s="3" t="str">
        <f t="shared" si="36"/>
        <v>Aug</v>
      </c>
      <c r="F478" s="3" t="str">
        <f t="shared" si="37"/>
        <v>2025</v>
      </c>
      <c r="G478" s="4">
        <f t="shared" si="38"/>
        <v>8</v>
      </c>
      <c r="H478" s="3" t="str">
        <f t="shared" si="39"/>
        <v>Q-3</v>
      </c>
      <c r="I478" t="s">
        <v>76</v>
      </c>
      <c r="J478" t="s">
        <v>89</v>
      </c>
      <c r="K478">
        <v>119</v>
      </c>
      <c r="L478" s="5">
        <v>4500</v>
      </c>
      <c r="M478">
        <v>95</v>
      </c>
      <c r="N478" t="s">
        <v>70</v>
      </c>
      <c r="O478" t="s">
        <v>46</v>
      </c>
      <c r="P478" t="s">
        <v>25</v>
      </c>
      <c r="Q478" s="5">
        <f>Table1[[#This Row],[Quantity]]*Table1[[#This Row],[Unit_Price]]</f>
        <v>535500</v>
      </c>
      <c r="R478" t="str">
        <f>IF(Table1[[#This Row],[Delivery_Days]]&lt;=3,"Fast",IF(Table1[[#This Row],[Delivery_Days]]&lt;=7,"Normal","Late"))</f>
        <v>Late</v>
      </c>
    </row>
    <row r="479" spans="1:18" x14ac:dyDescent="0.35">
      <c r="A479" t="s">
        <v>212</v>
      </c>
      <c r="B479" t="str">
        <f t="shared" si="35"/>
        <v>APX1394</v>
      </c>
      <c r="C479" s="3">
        <v>45830</v>
      </c>
      <c r="D479" s="3">
        <f>IF(ISNUMBER(C479), C479, DATE(RIGHT(C479, 4), MATCH(LEFT(C479, 3), {"Jan","Feb","Mar","Apr","May","Jun","Jul","Aug","Sep","Oct","Nov","Dec"}, 0), MID(C479, 5, 2)))</f>
        <v>45830</v>
      </c>
      <c r="E479" s="3" t="str">
        <f t="shared" si="36"/>
        <v>Jun</v>
      </c>
      <c r="F479" s="3" t="str">
        <f t="shared" si="37"/>
        <v>2025</v>
      </c>
      <c r="G479" s="4">
        <f t="shared" si="38"/>
        <v>6</v>
      </c>
      <c r="H479" s="3" t="str">
        <f t="shared" si="39"/>
        <v>Q-2</v>
      </c>
      <c r="I479" t="s">
        <v>510</v>
      </c>
      <c r="J479" t="s">
        <v>64</v>
      </c>
      <c r="K479">
        <v>2500</v>
      </c>
      <c r="L479" s="5">
        <v>6500</v>
      </c>
      <c r="M479">
        <v>95</v>
      </c>
      <c r="N479" t="s">
        <v>70</v>
      </c>
      <c r="O479" t="s">
        <v>46</v>
      </c>
      <c r="P479" t="s">
        <v>25</v>
      </c>
      <c r="Q479" s="5">
        <f>Table1[[#This Row],[Quantity]]*Table1[[#This Row],[Unit_Price]]</f>
        <v>16250000</v>
      </c>
      <c r="R479" t="str">
        <f>IF(Table1[[#This Row],[Delivery_Days]]&lt;=3,"Fast",IF(Table1[[#This Row],[Delivery_Days]]&lt;=7,"Normal","Late"))</f>
        <v>Late</v>
      </c>
    </row>
    <row r="480" spans="1:18" x14ac:dyDescent="0.35">
      <c r="A480" t="s">
        <v>316</v>
      </c>
      <c r="B480" t="str">
        <f t="shared" si="35"/>
        <v>APX1001</v>
      </c>
      <c r="C480" s="3">
        <v>45985</v>
      </c>
      <c r="D480" s="3">
        <f>IF(ISNUMBER(C480), C480, DATE(RIGHT(C480, 4), MATCH(LEFT(C480, 3), {"Jan","Feb","Mar","Apr","May","Jun","Jul","Aug","Sep","Oct","Nov","Dec"}, 0), MID(C480, 5, 2)))</f>
        <v>45985</v>
      </c>
      <c r="E480" s="3" t="str">
        <f t="shared" si="36"/>
        <v>Nov</v>
      </c>
      <c r="F480" s="3" t="str">
        <f t="shared" si="37"/>
        <v>2025</v>
      </c>
      <c r="G480" s="4">
        <f t="shared" si="38"/>
        <v>11</v>
      </c>
      <c r="H480" s="3" t="str">
        <f t="shared" si="39"/>
        <v>Q-4</v>
      </c>
      <c r="I480" t="s">
        <v>503</v>
      </c>
      <c r="J480" t="s">
        <v>73</v>
      </c>
      <c r="K480">
        <v>12</v>
      </c>
      <c r="L480" s="5">
        <v>4500</v>
      </c>
      <c r="M480">
        <v>3</v>
      </c>
      <c r="N480" t="s">
        <v>70</v>
      </c>
      <c r="O480" t="s">
        <v>506</v>
      </c>
      <c r="P480" t="s">
        <v>25</v>
      </c>
      <c r="Q480" s="5">
        <f>Table1[[#This Row],[Quantity]]*Table1[[#This Row],[Unit_Price]]</f>
        <v>54000</v>
      </c>
      <c r="R480" t="str">
        <f>IF(Table1[[#This Row],[Delivery_Days]]&lt;=3,"Fast",IF(Table1[[#This Row],[Delivery_Days]]&lt;=7,"Normal","Late"))</f>
        <v>Fast</v>
      </c>
    </row>
    <row r="481" spans="1:18" x14ac:dyDescent="0.35">
      <c r="A481" t="s">
        <v>396</v>
      </c>
      <c r="B481" t="str">
        <f t="shared" si="35"/>
        <v>APX1149</v>
      </c>
      <c r="C481" s="3">
        <v>45939</v>
      </c>
      <c r="D481" s="3">
        <f>IF(ISNUMBER(C481), C481, DATE(RIGHT(C481, 4), MATCH(LEFT(C481, 3), {"Jan","Feb","Mar","Apr","May","Jun","Jul","Aug","Sep","Oct","Nov","Dec"}, 0), MID(C481, 5, 2)))</f>
        <v>45939</v>
      </c>
      <c r="E481" s="3" t="str">
        <f t="shared" si="36"/>
        <v>Oct</v>
      </c>
      <c r="F481" s="3" t="str">
        <f t="shared" si="37"/>
        <v>2025</v>
      </c>
      <c r="G481" s="4">
        <f t="shared" si="38"/>
        <v>10</v>
      </c>
      <c r="H481" s="3" t="str">
        <f t="shared" si="39"/>
        <v>Q-4</v>
      </c>
      <c r="I481" t="s">
        <v>503</v>
      </c>
      <c r="J481" t="s">
        <v>32</v>
      </c>
      <c r="K481">
        <v>2500</v>
      </c>
      <c r="L481" s="5">
        <v>25111</v>
      </c>
      <c r="M481">
        <v>95</v>
      </c>
      <c r="N481" t="s">
        <v>40</v>
      </c>
      <c r="O481" t="s">
        <v>14</v>
      </c>
      <c r="P481" t="s">
        <v>42</v>
      </c>
      <c r="Q481" s="5">
        <f>Table1[[#This Row],[Quantity]]*Table1[[#This Row],[Unit_Price]]</f>
        <v>62777500</v>
      </c>
      <c r="R481" t="str">
        <f>IF(Table1[[#This Row],[Delivery_Days]]&lt;=3,"Fast",IF(Table1[[#This Row],[Delivery_Days]]&lt;=7,"Normal","Late"))</f>
        <v>Late</v>
      </c>
    </row>
    <row r="482" spans="1:18" x14ac:dyDescent="0.35">
      <c r="A482" t="s">
        <v>45</v>
      </c>
      <c r="B482" t="str">
        <f t="shared" si="35"/>
        <v>APX1277</v>
      </c>
      <c r="C482" s="3">
        <v>46018</v>
      </c>
      <c r="D482" s="3">
        <f>IF(ISNUMBER(C482), C482, DATE(RIGHT(C482, 4), MATCH(LEFT(C482, 3), {"Jan","Feb","Mar","Apr","May","Jun","Jul","Aug","Sep","Oct","Nov","Dec"}, 0), MID(C482, 5, 2)))</f>
        <v>46018</v>
      </c>
      <c r="E482" s="3" t="str">
        <f t="shared" si="36"/>
        <v>Dec</v>
      </c>
      <c r="F482" s="3" t="str">
        <f t="shared" si="37"/>
        <v>2025</v>
      </c>
      <c r="G482" s="4">
        <f t="shared" si="38"/>
        <v>12</v>
      </c>
      <c r="H482" s="3" t="str">
        <f t="shared" si="39"/>
        <v>Q-4</v>
      </c>
      <c r="I482" t="s">
        <v>502</v>
      </c>
      <c r="J482" t="s">
        <v>73</v>
      </c>
      <c r="K482">
        <v>30</v>
      </c>
      <c r="L482" s="5">
        <v>48431</v>
      </c>
      <c r="M482">
        <v>95</v>
      </c>
      <c r="N482" t="s">
        <v>40</v>
      </c>
      <c r="O482" t="s">
        <v>506</v>
      </c>
      <c r="P482" t="s">
        <v>25</v>
      </c>
      <c r="Q482" s="5">
        <f>Table1[[#This Row],[Quantity]]*Table1[[#This Row],[Unit_Price]]</f>
        <v>1452930</v>
      </c>
      <c r="R482" t="str">
        <f>IF(Table1[[#This Row],[Delivery_Days]]&lt;=3,"Fast",IF(Table1[[#This Row],[Delivery_Days]]&lt;=7,"Normal","Late"))</f>
        <v>Late</v>
      </c>
    </row>
    <row r="483" spans="1:18" x14ac:dyDescent="0.35">
      <c r="A483" t="s">
        <v>279</v>
      </c>
      <c r="B483" t="str">
        <f t="shared" si="35"/>
        <v>APX1055</v>
      </c>
      <c r="C483" s="3">
        <v>45854</v>
      </c>
      <c r="D483" s="3">
        <f>IF(ISNUMBER(C483), C483, DATE(RIGHT(C483, 4), MATCH(LEFT(C483, 3), {"Jan","Feb","Mar","Apr","May","Jun","Jul","Aug","Sep","Oct","Nov","Dec"}, 0), MID(C483, 5, 2)))</f>
        <v>45854</v>
      </c>
      <c r="E483" s="3" t="str">
        <f t="shared" si="36"/>
        <v>Jul</v>
      </c>
      <c r="F483" s="3" t="str">
        <f t="shared" si="37"/>
        <v>2025</v>
      </c>
      <c r="G483" s="4">
        <f t="shared" si="38"/>
        <v>7</v>
      </c>
      <c r="H483" s="3" t="str">
        <f t="shared" si="39"/>
        <v>Q-3</v>
      </c>
      <c r="I483" t="s">
        <v>503</v>
      </c>
      <c r="J483" t="s">
        <v>32</v>
      </c>
      <c r="K483">
        <v>2500</v>
      </c>
      <c r="L483" s="5">
        <v>4500</v>
      </c>
      <c r="M483">
        <v>7</v>
      </c>
      <c r="N483" t="s">
        <v>560</v>
      </c>
      <c r="O483" t="s">
        <v>506</v>
      </c>
      <c r="P483" t="s">
        <v>15</v>
      </c>
      <c r="Q483" s="5">
        <f>Table1[[#This Row],[Quantity]]*Table1[[#This Row],[Unit_Price]]</f>
        <v>11250000</v>
      </c>
      <c r="R483" t="str">
        <f>IF(Table1[[#This Row],[Delivery_Days]]&lt;=3,"Fast",IF(Table1[[#This Row],[Delivery_Days]]&lt;=7,"Normal","Late"))</f>
        <v>Normal</v>
      </c>
    </row>
    <row r="484" spans="1:18" x14ac:dyDescent="0.35">
      <c r="A484" t="s">
        <v>111</v>
      </c>
      <c r="B484" t="str">
        <f t="shared" si="35"/>
        <v>APX1141</v>
      </c>
      <c r="C484" s="3">
        <v>45883</v>
      </c>
      <c r="D484" s="3">
        <f>IF(ISNUMBER(C484), C484, DATE(RIGHT(C484, 4), MATCH(LEFT(C484, 3), {"Jan","Feb","Mar","Apr","May","Jun","Jul","Aug","Sep","Oct","Nov","Dec"}, 0), MID(C484, 5, 2)))</f>
        <v>45883</v>
      </c>
      <c r="E484" s="3" t="str">
        <f t="shared" si="36"/>
        <v>Aug</v>
      </c>
      <c r="F484" s="3" t="str">
        <f t="shared" si="37"/>
        <v>2025</v>
      </c>
      <c r="G484" s="4">
        <f t="shared" si="38"/>
        <v>8</v>
      </c>
      <c r="H484" s="3" t="str">
        <f t="shared" si="39"/>
        <v>Q-3</v>
      </c>
      <c r="I484" t="s">
        <v>76</v>
      </c>
      <c r="J484" t="s">
        <v>64</v>
      </c>
      <c r="K484">
        <v>2500</v>
      </c>
      <c r="L484" s="5">
        <v>25835</v>
      </c>
      <c r="M484">
        <v>7</v>
      </c>
      <c r="N484" t="s">
        <v>40</v>
      </c>
      <c r="O484" t="s">
        <v>14</v>
      </c>
      <c r="P484" t="s">
        <v>74</v>
      </c>
      <c r="Q484" s="5">
        <f>Table1[[#This Row],[Quantity]]*Table1[[#This Row],[Unit_Price]]</f>
        <v>64587500</v>
      </c>
      <c r="R484" t="str">
        <f>IF(Table1[[#This Row],[Delivery_Days]]&lt;=3,"Fast",IF(Table1[[#This Row],[Delivery_Days]]&lt;=7,"Normal","Late"))</f>
        <v>Normal</v>
      </c>
    </row>
    <row r="485" spans="1:18" x14ac:dyDescent="0.35">
      <c r="A485" t="s">
        <v>484</v>
      </c>
      <c r="B485" t="str">
        <f t="shared" si="35"/>
        <v>APX1122</v>
      </c>
      <c r="C485" s="3" t="s">
        <v>485</v>
      </c>
      <c r="D485" s="3">
        <f>IF(ISNUMBER(C485), C485, DATE(RIGHT(C485, 4), MATCH(LEFT(C485, 3), {"Jan","Feb","Mar","Apr","May","Jun","Jul","Aug","Sep","Oct","Nov","Dec"}, 0), MID(C485, 5, 2)))</f>
        <v>45827</v>
      </c>
      <c r="E485" s="3" t="str">
        <f t="shared" si="36"/>
        <v>Jun</v>
      </c>
      <c r="F485" s="3" t="str">
        <f t="shared" si="37"/>
        <v>2025</v>
      </c>
      <c r="G485" s="4">
        <f t="shared" si="38"/>
        <v>6</v>
      </c>
      <c r="H485" s="3" t="str">
        <f t="shared" si="39"/>
        <v>Q-2</v>
      </c>
      <c r="I485" t="s">
        <v>510</v>
      </c>
      <c r="J485" t="s">
        <v>64</v>
      </c>
      <c r="K485">
        <v>30</v>
      </c>
      <c r="L485" s="5">
        <v>4500</v>
      </c>
      <c r="M485">
        <v>3</v>
      </c>
      <c r="N485" t="s">
        <v>70</v>
      </c>
      <c r="O485" t="s">
        <v>506</v>
      </c>
      <c r="P485" t="s">
        <v>25</v>
      </c>
      <c r="Q485" s="5">
        <f>Table1[[#This Row],[Quantity]]*Table1[[#This Row],[Unit_Price]]</f>
        <v>135000</v>
      </c>
      <c r="R485" t="str">
        <f>IF(Table1[[#This Row],[Delivery_Days]]&lt;=3,"Fast",IF(Table1[[#This Row],[Delivery_Days]]&lt;=7,"Normal","Late"))</f>
        <v>Fast</v>
      </c>
    </row>
    <row r="486" spans="1:18" x14ac:dyDescent="0.35">
      <c r="A486" t="s">
        <v>486</v>
      </c>
      <c r="B486" t="str">
        <f t="shared" si="35"/>
        <v>APX1153</v>
      </c>
      <c r="C486" s="3">
        <v>45891</v>
      </c>
      <c r="D486" s="3">
        <f>IF(ISNUMBER(C486), C486, DATE(RIGHT(C486, 4), MATCH(LEFT(C486, 3), {"Jan","Feb","Mar","Apr","May","Jun","Jul","Aug","Sep","Oct","Nov","Dec"}, 0), MID(C486, 5, 2)))</f>
        <v>45891</v>
      </c>
      <c r="E486" s="3" t="str">
        <f t="shared" si="36"/>
        <v>Aug</v>
      </c>
      <c r="F486" s="3" t="str">
        <f t="shared" si="37"/>
        <v>2025</v>
      </c>
      <c r="G486" s="4">
        <f t="shared" si="38"/>
        <v>8</v>
      </c>
      <c r="H486" s="3" t="str">
        <f t="shared" si="39"/>
        <v>Q-3</v>
      </c>
      <c r="I486" t="s">
        <v>76</v>
      </c>
      <c r="J486" t="s">
        <v>32</v>
      </c>
      <c r="K486">
        <v>30</v>
      </c>
      <c r="L486" s="5">
        <v>4500</v>
      </c>
      <c r="M486">
        <v>3</v>
      </c>
      <c r="N486" t="s">
        <v>40</v>
      </c>
      <c r="O486" t="s">
        <v>14</v>
      </c>
      <c r="P486" t="s">
        <v>42</v>
      </c>
      <c r="Q486" s="5">
        <f>Table1[[#This Row],[Quantity]]*Table1[[#This Row],[Unit_Price]]</f>
        <v>135000</v>
      </c>
      <c r="R486" t="str">
        <f>IF(Table1[[#This Row],[Delivery_Days]]&lt;=3,"Fast",IF(Table1[[#This Row],[Delivery_Days]]&lt;=7,"Normal","Late"))</f>
        <v>Fast</v>
      </c>
    </row>
    <row r="487" spans="1:18" x14ac:dyDescent="0.35">
      <c r="A487" t="s">
        <v>487</v>
      </c>
      <c r="B487" t="str">
        <f t="shared" si="35"/>
        <v>APX1158</v>
      </c>
      <c r="C487" s="3">
        <v>45955</v>
      </c>
      <c r="D487" s="3">
        <f>IF(ISNUMBER(C487), C487, DATE(RIGHT(C487, 4), MATCH(LEFT(C487, 3), {"Jan","Feb","Mar","Apr","May","Jun","Jul","Aug","Sep","Oct","Nov","Dec"}, 0), MID(C487, 5, 2)))</f>
        <v>45955</v>
      </c>
      <c r="E487" s="3" t="str">
        <f t="shared" si="36"/>
        <v>Oct</v>
      </c>
      <c r="F487" s="3" t="str">
        <f t="shared" si="37"/>
        <v>2025</v>
      </c>
      <c r="G487" s="4">
        <f t="shared" si="38"/>
        <v>10</v>
      </c>
      <c r="H487" s="3" t="str">
        <f t="shared" si="39"/>
        <v>Q-4</v>
      </c>
      <c r="I487" t="s">
        <v>17</v>
      </c>
      <c r="J487" t="s">
        <v>39</v>
      </c>
      <c r="K487">
        <v>2500</v>
      </c>
      <c r="L487" s="5">
        <v>800</v>
      </c>
      <c r="M487">
        <v>3</v>
      </c>
      <c r="N487" t="s">
        <v>560</v>
      </c>
      <c r="O487" t="s">
        <v>46</v>
      </c>
      <c r="P487" t="s">
        <v>25</v>
      </c>
      <c r="Q487" s="5">
        <f>Table1[[#This Row],[Quantity]]*Table1[[#This Row],[Unit_Price]]</f>
        <v>2000000</v>
      </c>
      <c r="R487" t="str">
        <f>IF(Table1[[#This Row],[Delivery_Days]]&lt;=3,"Fast",IF(Table1[[#This Row],[Delivery_Days]]&lt;=7,"Normal","Late"))</f>
        <v>Fast</v>
      </c>
    </row>
    <row r="488" spans="1:18" x14ac:dyDescent="0.35">
      <c r="A488" t="s">
        <v>488</v>
      </c>
      <c r="B488" t="str">
        <f t="shared" si="35"/>
        <v>APX1104</v>
      </c>
      <c r="C488" s="3">
        <v>45987</v>
      </c>
      <c r="D488" s="3">
        <f>IF(ISNUMBER(C488), C488, DATE(RIGHT(C488, 4), MATCH(LEFT(C488, 3), {"Jan","Feb","Mar","Apr","May","Jun","Jul","Aug","Sep","Oct","Nov","Dec"}, 0), MID(C488, 5, 2)))</f>
        <v>45987</v>
      </c>
      <c r="E488" s="3" t="str">
        <f t="shared" si="36"/>
        <v>Nov</v>
      </c>
      <c r="F488" s="3" t="str">
        <f t="shared" si="37"/>
        <v>2025</v>
      </c>
      <c r="G488" s="4">
        <f t="shared" si="38"/>
        <v>11</v>
      </c>
      <c r="H488" s="3" t="str">
        <f t="shared" si="39"/>
        <v>Q-4</v>
      </c>
      <c r="I488" t="s">
        <v>17</v>
      </c>
      <c r="J488" t="s">
        <v>32</v>
      </c>
      <c r="K488">
        <v>53</v>
      </c>
      <c r="L488" s="5">
        <v>800</v>
      </c>
      <c r="M488">
        <v>95</v>
      </c>
      <c r="N488" t="s">
        <v>40</v>
      </c>
      <c r="O488" t="s">
        <v>14</v>
      </c>
      <c r="P488" t="s">
        <v>74</v>
      </c>
      <c r="Q488" s="5">
        <f>Table1[[#This Row],[Quantity]]*Table1[[#This Row],[Unit_Price]]</f>
        <v>42400</v>
      </c>
      <c r="R488" t="str">
        <f>IF(Table1[[#This Row],[Delivery_Days]]&lt;=3,"Fast",IF(Table1[[#This Row],[Delivery_Days]]&lt;=7,"Normal","Late"))</f>
        <v>Late</v>
      </c>
    </row>
    <row r="489" spans="1:18" x14ac:dyDescent="0.35">
      <c r="A489" t="s">
        <v>489</v>
      </c>
      <c r="B489" t="str">
        <f t="shared" si="35"/>
        <v>APX1227</v>
      </c>
      <c r="C489" s="3">
        <v>45727</v>
      </c>
      <c r="D489" s="3">
        <f>IF(ISNUMBER(C489), C489, DATE(RIGHT(C489, 4), MATCH(LEFT(C489, 3), {"Jan","Feb","Mar","Apr","May","Jun","Jul","Aug","Sep","Oct","Nov","Dec"}, 0), MID(C489, 5, 2)))</f>
        <v>45727</v>
      </c>
      <c r="E489" s="3" t="str">
        <f t="shared" si="36"/>
        <v>Mar</v>
      </c>
      <c r="F489" s="3" t="str">
        <f t="shared" si="37"/>
        <v>2025</v>
      </c>
      <c r="G489" s="4">
        <f t="shared" si="38"/>
        <v>3</v>
      </c>
      <c r="H489" s="3" t="str">
        <f t="shared" si="39"/>
        <v>Q-1</v>
      </c>
      <c r="I489" t="s">
        <v>11</v>
      </c>
      <c r="J489" t="s">
        <v>32</v>
      </c>
      <c r="K489">
        <v>30</v>
      </c>
      <c r="L489" s="5">
        <v>28998</v>
      </c>
      <c r="M489">
        <v>95</v>
      </c>
      <c r="N489" t="s">
        <v>504</v>
      </c>
      <c r="O489" t="s">
        <v>46</v>
      </c>
      <c r="P489" t="s">
        <v>42</v>
      </c>
      <c r="Q489" s="5">
        <f>Table1[[#This Row],[Quantity]]*Table1[[#This Row],[Unit_Price]]</f>
        <v>869940</v>
      </c>
      <c r="R489" t="str">
        <f>IF(Table1[[#This Row],[Delivery_Days]]&lt;=3,"Fast",IF(Table1[[#This Row],[Delivery_Days]]&lt;=7,"Normal","Late"))</f>
        <v>Late</v>
      </c>
    </row>
    <row r="490" spans="1:18" x14ac:dyDescent="0.35">
      <c r="A490" t="s">
        <v>122</v>
      </c>
      <c r="B490" t="str">
        <f t="shared" si="35"/>
        <v>APX1204</v>
      </c>
      <c r="C490" s="3">
        <v>45743</v>
      </c>
      <c r="D490" s="3">
        <f>IF(ISNUMBER(C490), C490, DATE(RIGHT(C490, 4), MATCH(LEFT(C490, 3), {"Jan","Feb","Mar","Apr","May","Jun","Jul","Aug","Sep","Oct","Nov","Dec"}, 0), MID(C490, 5, 2)))</f>
        <v>45743</v>
      </c>
      <c r="E490" s="3" t="str">
        <f t="shared" si="36"/>
        <v>Mar</v>
      </c>
      <c r="F490" s="3" t="str">
        <f t="shared" si="37"/>
        <v>2025</v>
      </c>
      <c r="G490" s="4">
        <f t="shared" si="38"/>
        <v>3</v>
      </c>
      <c r="H490" s="3" t="str">
        <f t="shared" si="39"/>
        <v>Q-1</v>
      </c>
      <c r="I490" t="s">
        <v>76</v>
      </c>
      <c r="J490" t="s">
        <v>32</v>
      </c>
      <c r="K490">
        <v>30</v>
      </c>
      <c r="L490" s="5">
        <v>4500</v>
      </c>
      <c r="M490">
        <v>3</v>
      </c>
      <c r="N490" t="s">
        <v>560</v>
      </c>
      <c r="O490" t="s">
        <v>506</v>
      </c>
      <c r="P490" t="s">
        <v>25</v>
      </c>
      <c r="Q490" s="5">
        <f>Table1[[#This Row],[Quantity]]*Table1[[#This Row],[Unit_Price]]</f>
        <v>135000</v>
      </c>
      <c r="R490" t="str">
        <f>IF(Table1[[#This Row],[Delivery_Days]]&lt;=3,"Fast",IF(Table1[[#This Row],[Delivery_Days]]&lt;=7,"Normal","Late"))</f>
        <v>Fast</v>
      </c>
    </row>
    <row r="491" spans="1:18" x14ac:dyDescent="0.35">
      <c r="A491" t="s">
        <v>133</v>
      </c>
      <c r="B491" t="str">
        <f t="shared" si="35"/>
        <v>APX1007</v>
      </c>
      <c r="C491" s="3" t="s">
        <v>468</v>
      </c>
      <c r="D491" s="3">
        <f>IF(ISNUMBER(C491), C491, DATE(RIGHT(C491, 4), MATCH(LEFT(C491, 3), {"Jan","Feb","Mar","Apr","May","Jun","Jul","Aug","Sep","Oct","Nov","Dec"}, 0), MID(C491, 5, 2)))</f>
        <v>45740</v>
      </c>
      <c r="E491" s="3" t="str">
        <f t="shared" si="36"/>
        <v>Mar</v>
      </c>
      <c r="F491" s="3" t="str">
        <f t="shared" si="37"/>
        <v>2025</v>
      </c>
      <c r="G491" s="4">
        <f t="shared" si="38"/>
        <v>3</v>
      </c>
      <c r="H491" s="3" t="str">
        <f t="shared" si="39"/>
        <v>Q-1</v>
      </c>
      <c r="I491" t="s">
        <v>76</v>
      </c>
      <c r="J491" t="s">
        <v>89</v>
      </c>
      <c r="K491">
        <v>30</v>
      </c>
      <c r="L491" s="5">
        <v>850000</v>
      </c>
      <c r="M491">
        <v>3</v>
      </c>
      <c r="N491" t="s">
        <v>70</v>
      </c>
      <c r="O491" t="s">
        <v>506</v>
      </c>
      <c r="P491" t="s">
        <v>25</v>
      </c>
      <c r="Q491" s="5">
        <f>Table1[[#This Row],[Quantity]]*Table1[[#This Row],[Unit_Price]]</f>
        <v>25500000</v>
      </c>
      <c r="R491" t="str">
        <f>IF(Table1[[#This Row],[Delivery_Days]]&lt;=3,"Fast",IF(Table1[[#This Row],[Delivery_Days]]&lt;=7,"Normal","Late"))</f>
        <v>Fast</v>
      </c>
    </row>
    <row r="492" spans="1:18" x14ac:dyDescent="0.35">
      <c r="A492" t="s">
        <v>490</v>
      </c>
      <c r="B492" t="str">
        <f t="shared" si="35"/>
        <v>APX1208</v>
      </c>
      <c r="C492" s="3">
        <v>45998</v>
      </c>
      <c r="D492" s="3">
        <f>IF(ISNUMBER(C492), C492, DATE(RIGHT(C492, 4), MATCH(LEFT(C492, 3), {"Jan","Feb","Mar","Apr","May","Jun","Jul","Aug","Sep","Oct","Nov","Dec"}, 0), MID(C492, 5, 2)))</f>
        <v>45998</v>
      </c>
      <c r="E492" s="3" t="str">
        <f t="shared" si="36"/>
        <v>Dec</v>
      </c>
      <c r="F492" s="3" t="str">
        <f t="shared" si="37"/>
        <v>2025</v>
      </c>
      <c r="G492" s="4">
        <f t="shared" si="38"/>
        <v>12</v>
      </c>
      <c r="H492" s="3" t="str">
        <f t="shared" si="39"/>
        <v>Q-4</v>
      </c>
      <c r="I492" t="s">
        <v>17</v>
      </c>
      <c r="J492" t="s">
        <v>32</v>
      </c>
      <c r="K492">
        <v>33</v>
      </c>
      <c r="L492" s="5">
        <v>2322</v>
      </c>
      <c r="M492">
        <v>3</v>
      </c>
      <c r="N492" t="s">
        <v>560</v>
      </c>
      <c r="O492" t="s">
        <v>506</v>
      </c>
      <c r="P492" t="s">
        <v>25</v>
      </c>
      <c r="Q492" s="5">
        <f>Table1[[#This Row],[Quantity]]*Table1[[#This Row],[Unit_Price]]</f>
        <v>76626</v>
      </c>
      <c r="R492" t="str">
        <f>IF(Table1[[#This Row],[Delivery_Days]]&lt;=3,"Fast",IF(Table1[[#This Row],[Delivery_Days]]&lt;=7,"Normal","Late"))</f>
        <v>Fast</v>
      </c>
    </row>
    <row r="493" spans="1:18" x14ac:dyDescent="0.35">
      <c r="A493" t="s">
        <v>72</v>
      </c>
      <c r="B493" t="str">
        <f t="shared" si="35"/>
        <v>APX1246</v>
      </c>
      <c r="C493" s="3" t="s">
        <v>491</v>
      </c>
      <c r="D493" s="3">
        <f>IF(ISNUMBER(C493), C493, DATE(RIGHT(C493, 4), MATCH(LEFT(C493, 3), {"Jan","Feb","Mar","Apr","May","Jun","Jul","Aug","Sep","Oct","Nov","Dec"}, 0), MID(C493, 5, 2)))</f>
        <v>46012</v>
      </c>
      <c r="E493" s="3" t="str">
        <f t="shared" si="36"/>
        <v>Dec</v>
      </c>
      <c r="F493" s="3" t="str">
        <f t="shared" si="37"/>
        <v>2025</v>
      </c>
      <c r="G493" s="4">
        <f t="shared" si="38"/>
        <v>12</v>
      </c>
      <c r="H493" s="3" t="str">
        <f t="shared" si="39"/>
        <v>Q-4</v>
      </c>
      <c r="I493" t="s">
        <v>76</v>
      </c>
      <c r="J493" t="s">
        <v>89</v>
      </c>
      <c r="K493">
        <v>112</v>
      </c>
      <c r="L493" s="5">
        <v>4500</v>
      </c>
      <c r="M493">
        <v>5</v>
      </c>
      <c r="N493" t="s">
        <v>560</v>
      </c>
      <c r="O493" t="s">
        <v>506</v>
      </c>
      <c r="P493" t="s">
        <v>25</v>
      </c>
      <c r="Q493" s="5">
        <f>Table1[[#This Row],[Quantity]]*Table1[[#This Row],[Unit_Price]]</f>
        <v>504000</v>
      </c>
      <c r="R493" t="str">
        <f>IF(Table1[[#This Row],[Delivery_Days]]&lt;=3,"Fast",IF(Table1[[#This Row],[Delivery_Days]]&lt;=7,"Normal","Late"))</f>
        <v>Normal</v>
      </c>
    </row>
    <row r="494" spans="1:18" x14ac:dyDescent="0.35">
      <c r="A494" t="s">
        <v>199</v>
      </c>
      <c r="B494" t="str">
        <f t="shared" si="35"/>
        <v>APX1184</v>
      </c>
      <c r="C494" s="3">
        <v>45928</v>
      </c>
      <c r="D494" s="3">
        <f>IF(ISNUMBER(C494), C494, DATE(RIGHT(C494, 4), MATCH(LEFT(C494, 3), {"Jan","Feb","Mar","Apr","May","Jun","Jul","Aug","Sep","Oct","Nov","Dec"}, 0), MID(C494, 5, 2)))</f>
        <v>45928</v>
      </c>
      <c r="E494" s="3" t="str">
        <f t="shared" si="36"/>
        <v>Sep</v>
      </c>
      <c r="F494" s="3" t="str">
        <f t="shared" si="37"/>
        <v>2025</v>
      </c>
      <c r="G494" s="4">
        <f t="shared" si="38"/>
        <v>9</v>
      </c>
      <c r="H494" s="3" t="str">
        <f t="shared" si="39"/>
        <v>Q-4</v>
      </c>
      <c r="I494" t="s">
        <v>503</v>
      </c>
      <c r="J494" t="s">
        <v>32</v>
      </c>
      <c r="K494">
        <v>12</v>
      </c>
      <c r="L494" s="5">
        <v>850000</v>
      </c>
      <c r="M494">
        <v>3</v>
      </c>
      <c r="N494" t="s">
        <v>70</v>
      </c>
      <c r="O494" t="s">
        <v>506</v>
      </c>
      <c r="P494" t="s">
        <v>25</v>
      </c>
      <c r="Q494" s="5">
        <f>Table1[[#This Row],[Quantity]]*Table1[[#This Row],[Unit_Price]]</f>
        <v>10200000</v>
      </c>
      <c r="R494" t="str">
        <f>IF(Table1[[#This Row],[Delivery_Days]]&lt;=3,"Fast",IF(Table1[[#This Row],[Delivery_Days]]&lt;=7,"Normal","Late"))</f>
        <v>Fast</v>
      </c>
    </row>
    <row r="495" spans="1:18" x14ac:dyDescent="0.35">
      <c r="A495" t="s">
        <v>167</v>
      </c>
      <c r="B495" t="str">
        <f t="shared" si="35"/>
        <v>APX1081</v>
      </c>
      <c r="C495" s="3">
        <v>45976</v>
      </c>
      <c r="D495" s="3">
        <f>IF(ISNUMBER(C495), C495, DATE(RIGHT(C495, 4), MATCH(LEFT(C495, 3), {"Jan","Feb","Mar","Apr","May","Jun","Jul","Aug","Sep","Oct","Nov","Dec"}, 0), MID(C495, 5, 2)))</f>
        <v>45976</v>
      </c>
      <c r="E495" s="3" t="str">
        <f t="shared" si="36"/>
        <v>Nov</v>
      </c>
      <c r="F495" s="3" t="str">
        <f t="shared" si="37"/>
        <v>2025</v>
      </c>
      <c r="G495" s="4">
        <f t="shared" si="38"/>
        <v>11</v>
      </c>
      <c r="H495" s="3" t="str">
        <f t="shared" si="39"/>
        <v>Q-4</v>
      </c>
      <c r="I495" t="s">
        <v>510</v>
      </c>
      <c r="J495" t="s">
        <v>89</v>
      </c>
      <c r="K495">
        <v>2500</v>
      </c>
      <c r="L495" s="5">
        <v>800</v>
      </c>
      <c r="M495">
        <v>8</v>
      </c>
      <c r="N495" t="s">
        <v>40</v>
      </c>
      <c r="O495" t="s">
        <v>46</v>
      </c>
      <c r="P495" t="s">
        <v>25</v>
      </c>
      <c r="Q495" s="5">
        <f>Table1[[#This Row],[Quantity]]*Table1[[#This Row],[Unit_Price]]</f>
        <v>2000000</v>
      </c>
      <c r="R495" t="str">
        <f>IF(Table1[[#This Row],[Delivery_Days]]&lt;=3,"Fast",IF(Table1[[#This Row],[Delivery_Days]]&lt;=7,"Normal","Late"))</f>
        <v>Late</v>
      </c>
    </row>
    <row r="496" spans="1:18" x14ac:dyDescent="0.35">
      <c r="A496" t="s">
        <v>319</v>
      </c>
      <c r="B496" t="str">
        <f t="shared" si="35"/>
        <v>APX1419</v>
      </c>
      <c r="C496" s="3">
        <v>46015</v>
      </c>
      <c r="D496" s="3">
        <f>IF(ISNUMBER(C496), C496, DATE(RIGHT(C496, 4), MATCH(LEFT(C496, 3), {"Jan","Feb","Mar","Apr","May","Jun","Jul","Aug","Sep","Oct","Nov","Dec"}, 0), MID(C496, 5, 2)))</f>
        <v>46015</v>
      </c>
      <c r="E496" s="3" t="str">
        <f t="shared" si="36"/>
        <v>Dec</v>
      </c>
      <c r="F496" s="3" t="str">
        <f t="shared" si="37"/>
        <v>2025</v>
      </c>
      <c r="G496" s="4">
        <f t="shared" si="38"/>
        <v>12</v>
      </c>
      <c r="H496" s="3" t="str">
        <f t="shared" si="39"/>
        <v>Q-4</v>
      </c>
      <c r="I496" t="s">
        <v>510</v>
      </c>
      <c r="J496" t="s">
        <v>39</v>
      </c>
      <c r="K496">
        <v>166</v>
      </c>
      <c r="L496" s="5">
        <v>850000</v>
      </c>
      <c r="M496">
        <v>95</v>
      </c>
      <c r="N496" t="s">
        <v>40</v>
      </c>
      <c r="O496" t="s">
        <v>14</v>
      </c>
      <c r="P496" t="s">
        <v>25</v>
      </c>
      <c r="Q496" s="5">
        <f>Table1[[#This Row],[Quantity]]*Table1[[#This Row],[Unit_Price]]</f>
        <v>141100000</v>
      </c>
      <c r="R496" t="str">
        <f>IF(Table1[[#This Row],[Delivery_Days]]&lt;=3,"Fast",IF(Table1[[#This Row],[Delivery_Days]]&lt;=7,"Normal","Late"))</f>
        <v>Late</v>
      </c>
    </row>
    <row r="497" spans="1:18" x14ac:dyDescent="0.35">
      <c r="A497" t="s">
        <v>492</v>
      </c>
      <c r="B497" t="str">
        <f t="shared" si="35"/>
        <v>APX1064</v>
      </c>
      <c r="C497" s="3">
        <v>45825</v>
      </c>
      <c r="D497" s="3">
        <f>IF(ISNUMBER(C497), C497, DATE(RIGHT(C497, 4), MATCH(LEFT(C497, 3), {"Jan","Feb","Mar","Apr","May","Jun","Jul","Aug","Sep","Oct","Nov","Dec"}, 0), MID(C497, 5, 2)))</f>
        <v>45825</v>
      </c>
      <c r="E497" s="3" t="str">
        <f t="shared" si="36"/>
        <v>Jun</v>
      </c>
      <c r="F497" s="3" t="str">
        <f t="shared" si="37"/>
        <v>2025</v>
      </c>
      <c r="G497" s="4">
        <f t="shared" si="38"/>
        <v>6</v>
      </c>
      <c r="H497" s="3" t="str">
        <f t="shared" si="39"/>
        <v>Q-2</v>
      </c>
      <c r="I497" t="s">
        <v>76</v>
      </c>
      <c r="J497" t="s">
        <v>32</v>
      </c>
      <c r="K497">
        <v>30</v>
      </c>
      <c r="L497" s="5">
        <v>4500</v>
      </c>
      <c r="M497">
        <v>6</v>
      </c>
      <c r="N497" t="s">
        <v>40</v>
      </c>
      <c r="O497" t="s">
        <v>506</v>
      </c>
      <c r="P497" t="s">
        <v>25</v>
      </c>
      <c r="Q497" s="5">
        <f>Table1[[#This Row],[Quantity]]*Table1[[#This Row],[Unit_Price]]</f>
        <v>135000</v>
      </c>
      <c r="R497" t="str">
        <f>IF(Table1[[#This Row],[Delivery_Days]]&lt;=3,"Fast",IF(Table1[[#This Row],[Delivery_Days]]&lt;=7,"Normal","Late"))</f>
        <v>Normal</v>
      </c>
    </row>
    <row r="498" spans="1:18" x14ac:dyDescent="0.35">
      <c r="A498" t="s">
        <v>494</v>
      </c>
      <c r="B498" t="str">
        <f t="shared" si="35"/>
        <v>APX1022</v>
      </c>
      <c r="C498" s="3">
        <v>45738</v>
      </c>
      <c r="D498" s="3">
        <f>IF(ISNUMBER(C498), C498, DATE(RIGHT(C498, 4), MATCH(LEFT(C498, 3), {"Jan","Feb","Mar","Apr","May","Jun","Jul","Aug","Sep","Oct","Nov","Dec"}, 0), MID(C498, 5, 2)))</f>
        <v>45738</v>
      </c>
      <c r="E498" s="3" t="str">
        <f t="shared" si="36"/>
        <v>Mar</v>
      </c>
      <c r="F498" s="3" t="str">
        <f t="shared" si="37"/>
        <v>2025</v>
      </c>
      <c r="G498" s="4">
        <f t="shared" si="38"/>
        <v>3</v>
      </c>
      <c r="H498" s="3" t="str">
        <f t="shared" si="39"/>
        <v>Q-1</v>
      </c>
      <c r="I498" t="s">
        <v>503</v>
      </c>
      <c r="J498" t="s">
        <v>32</v>
      </c>
      <c r="K498">
        <v>2500</v>
      </c>
      <c r="L498" s="5">
        <v>6500</v>
      </c>
      <c r="M498">
        <v>95</v>
      </c>
      <c r="N498" t="s">
        <v>70</v>
      </c>
      <c r="O498" t="s">
        <v>506</v>
      </c>
      <c r="P498" t="s">
        <v>42</v>
      </c>
      <c r="Q498" s="5">
        <f>Table1[[#This Row],[Quantity]]*Table1[[#This Row],[Unit_Price]]</f>
        <v>16250000</v>
      </c>
      <c r="R498" t="str">
        <f>IF(Table1[[#This Row],[Delivery_Days]]&lt;=3,"Fast",IF(Table1[[#This Row],[Delivery_Days]]&lt;=7,"Normal","Late"))</f>
        <v>Late</v>
      </c>
    </row>
    <row r="499" spans="1:18" x14ac:dyDescent="0.35">
      <c r="A499" t="s">
        <v>62</v>
      </c>
      <c r="B499" t="str">
        <f t="shared" si="35"/>
        <v>APX1413</v>
      </c>
      <c r="C499" s="3">
        <v>45665</v>
      </c>
      <c r="D499" s="3">
        <f>IF(ISNUMBER(C499), C499, DATE(RIGHT(C499, 4), MATCH(LEFT(C499, 3), {"Jan","Feb","Mar","Apr","May","Jun","Jul","Aug","Sep","Oct","Nov","Dec"}, 0), MID(C499, 5, 2)))</f>
        <v>45665</v>
      </c>
      <c r="E499" s="3" t="str">
        <f t="shared" si="36"/>
        <v>Jan</v>
      </c>
      <c r="F499" s="3" t="str">
        <f t="shared" si="37"/>
        <v>2025</v>
      </c>
      <c r="G499" s="4">
        <f t="shared" si="38"/>
        <v>1</v>
      </c>
      <c r="H499" s="3" t="str">
        <f t="shared" si="39"/>
        <v>Q-1</v>
      </c>
      <c r="I499" t="s">
        <v>502</v>
      </c>
      <c r="J499" t="s">
        <v>89</v>
      </c>
      <c r="K499">
        <v>12</v>
      </c>
      <c r="L499" s="5">
        <v>4500</v>
      </c>
      <c r="M499">
        <v>3</v>
      </c>
      <c r="N499" t="s">
        <v>40</v>
      </c>
      <c r="O499" t="s">
        <v>506</v>
      </c>
      <c r="P499" t="s">
        <v>42</v>
      </c>
      <c r="Q499" s="5">
        <f>Table1[[#This Row],[Quantity]]*Table1[[#This Row],[Unit_Price]]</f>
        <v>54000</v>
      </c>
      <c r="R499" t="str">
        <f>IF(Table1[[#This Row],[Delivery_Days]]&lt;=3,"Fast",IF(Table1[[#This Row],[Delivery_Days]]&lt;=7,"Normal","Late"))</f>
        <v>Fast</v>
      </c>
    </row>
    <row r="500" spans="1:18" x14ac:dyDescent="0.35">
      <c r="A500" t="s">
        <v>339</v>
      </c>
      <c r="B500" t="str">
        <f t="shared" si="35"/>
        <v>APX1126</v>
      </c>
      <c r="C500" s="3" t="s">
        <v>495</v>
      </c>
      <c r="D500" s="3">
        <f>IF(ISNUMBER(C500), C500, DATE(RIGHT(C500, 4), MATCH(LEFT(C500, 3), {"Jan","Feb","Mar","Apr","May","Jun","Jul","Aug","Sep","Oct","Nov","Dec"}, 0), MID(C500, 5, 2)))</f>
        <v>45734</v>
      </c>
      <c r="E500" s="3" t="str">
        <f t="shared" si="36"/>
        <v>Mar</v>
      </c>
      <c r="F500" s="3" t="str">
        <f t="shared" si="37"/>
        <v>2025</v>
      </c>
      <c r="G500" s="4">
        <f t="shared" si="38"/>
        <v>3</v>
      </c>
      <c r="H500" s="3" t="str">
        <f t="shared" si="39"/>
        <v>Q-1</v>
      </c>
      <c r="I500" t="s">
        <v>17</v>
      </c>
      <c r="J500" t="s">
        <v>89</v>
      </c>
      <c r="K500">
        <v>2500</v>
      </c>
      <c r="L500" s="5">
        <v>6500</v>
      </c>
      <c r="M500">
        <v>3</v>
      </c>
      <c r="N500" t="s">
        <v>40</v>
      </c>
      <c r="O500" t="s">
        <v>506</v>
      </c>
      <c r="P500" t="s">
        <v>25</v>
      </c>
      <c r="Q500" s="5">
        <f>Table1[[#This Row],[Quantity]]*Table1[[#This Row],[Unit_Price]]</f>
        <v>16250000</v>
      </c>
      <c r="R500" t="str">
        <f>IF(Table1[[#This Row],[Delivery_Days]]&lt;=3,"Fast",IF(Table1[[#This Row],[Delivery_Days]]&lt;=7,"Normal","Late"))</f>
        <v>Fast</v>
      </c>
    </row>
    <row r="501" spans="1:18" x14ac:dyDescent="0.35">
      <c r="A501" t="s">
        <v>360</v>
      </c>
      <c r="B501" t="str">
        <f t="shared" si="35"/>
        <v>APX1247</v>
      </c>
      <c r="C501" s="3">
        <v>45707</v>
      </c>
      <c r="D501" s="3">
        <f>IF(ISNUMBER(C501), C501, DATE(RIGHT(C501, 4), MATCH(LEFT(C501, 3), {"Jan","Feb","Mar","Apr","May","Jun","Jul","Aug","Sep","Oct","Nov","Dec"}, 0), MID(C501, 5, 2)))</f>
        <v>45707</v>
      </c>
      <c r="E501" s="3" t="str">
        <f t="shared" si="36"/>
        <v>Feb</v>
      </c>
      <c r="F501" s="3" t="str">
        <f t="shared" si="37"/>
        <v>2025</v>
      </c>
      <c r="G501" s="4">
        <f t="shared" si="38"/>
        <v>2</v>
      </c>
      <c r="H501" s="3" t="str">
        <f t="shared" si="39"/>
        <v>Q-1</v>
      </c>
      <c r="I501" t="s">
        <v>502</v>
      </c>
      <c r="J501" t="s">
        <v>28</v>
      </c>
      <c r="K501">
        <v>12</v>
      </c>
      <c r="L501" s="5">
        <v>6500</v>
      </c>
      <c r="M501">
        <v>4</v>
      </c>
      <c r="N501" t="s">
        <v>40</v>
      </c>
      <c r="O501" t="s">
        <v>506</v>
      </c>
      <c r="P501" t="s">
        <v>42</v>
      </c>
      <c r="Q501" s="5">
        <f>Table1[[#This Row],[Quantity]]*Table1[[#This Row],[Unit_Price]]</f>
        <v>78000</v>
      </c>
      <c r="R501" t="str">
        <f>IF(Table1[[#This Row],[Delivery_Days]]&lt;=3,"Fast",IF(Table1[[#This Row],[Delivery_Days]]&lt;=7,"Normal","Late"))</f>
        <v>Normal</v>
      </c>
    </row>
  </sheetData>
  <conditionalFormatting sqref="B2:B501">
    <cfRule type="duplicateValues" dxfId="2" priority="3"/>
  </conditionalFormatting>
  <conditionalFormatting sqref="I1:I1048576">
    <cfRule type="containsText" dxfId="1" priority="2" operator="containsText" text="Unknown">
      <formula>NOT(ISERROR(SEARCH("Unknown",I1)))</formula>
    </cfRule>
  </conditionalFormatting>
  <conditionalFormatting sqref="N1:N1048576">
    <cfRule type="containsText" dxfId="0" priority="1" operator="containsText" text="Not Assigned">
      <formula>NOT(ISERROR(SEARCH("Not Assigned",N1)))</formula>
    </cfRule>
  </conditionalFormatting>
  <dataValidations count="1">
    <dataValidation type="list" allowBlank="1" showInputMessage="1" showErrorMessage="1" sqref="P2:P501" xr:uid="{67439C32-7B14-4AAE-BE4C-5014CFC32304}">
      <formula1>"Pending, Delivered, Returned, Cancelled"</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1A3B-B56F-41B3-B489-A116613CF056}">
  <dimension ref="B2:EI49"/>
  <sheetViews>
    <sheetView tabSelected="1" topLeftCell="AO12" zoomScale="58" zoomScaleNormal="85" workbookViewId="0">
      <selection activeCell="AU15" sqref="AU15"/>
    </sheetView>
  </sheetViews>
  <sheetFormatPr defaultRowHeight="14.5" x14ac:dyDescent="0.35"/>
  <cols>
    <col min="2" max="2" width="23.08984375" bestFit="1" customWidth="1"/>
    <col min="3" max="4" width="8.453125" customWidth="1"/>
    <col min="5" max="5" width="8" style="9" customWidth="1"/>
    <col min="6" max="6" width="15.26953125" customWidth="1"/>
    <col min="7" max="7" width="11" bestFit="1" customWidth="1"/>
    <col min="8" max="8" width="15.90625" bestFit="1" customWidth="1"/>
    <col min="9" max="10" width="6.453125" customWidth="1"/>
    <col min="11" max="11" width="8.36328125" customWidth="1"/>
    <col min="12" max="12" width="7.90625" customWidth="1"/>
    <col min="13" max="13" width="5.54296875" customWidth="1"/>
    <col min="14" max="14" width="5" style="9" customWidth="1"/>
    <col min="17" max="17" width="13.7265625" bestFit="1" customWidth="1"/>
    <col min="18" max="18" width="15.90625" bestFit="1" customWidth="1"/>
    <col min="19" max="19" width="9.90625" customWidth="1"/>
    <col min="20" max="20" width="10.453125" customWidth="1"/>
    <col min="21" max="21" width="4.7265625" style="9" customWidth="1"/>
    <col min="24" max="24" width="19.26953125" bestFit="1" customWidth="1"/>
    <col min="25" max="25" width="16.453125" bestFit="1" customWidth="1"/>
    <col min="26" max="27" width="23.1796875" customWidth="1"/>
    <col min="28" max="28" width="8.81640625" style="9" customWidth="1"/>
    <col min="31" max="31" width="10.81640625" bestFit="1" customWidth="1"/>
    <col min="32" max="32" width="16.453125" bestFit="1" customWidth="1"/>
    <col min="33" max="34" width="23.1796875" customWidth="1"/>
    <col min="35" max="35" width="8.90625" style="9" customWidth="1"/>
    <col min="37" max="37" width="10.1796875" bestFit="1" customWidth="1"/>
    <col min="38" max="38" width="15.26953125" bestFit="1" customWidth="1"/>
    <col min="39" max="39" width="16.26953125" bestFit="1" customWidth="1"/>
    <col min="40" max="41" width="21.54296875" customWidth="1"/>
    <col min="42" max="42" width="8.7265625" style="9"/>
    <col min="45" max="45" width="8.81640625" bestFit="1" customWidth="1"/>
    <col min="46" max="46" width="16.08984375" bestFit="1" customWidth="1"/>
    <col min="47" max="47" width="17.1796875" bestFit="1" customWidth="1"/>
    <col min="48" max="48" width="19.54296875" bestFit="1" customWidth="1"/>
    <col min="49" max="49" width="22.81640625" bestFit="1" customWidth="1"/>
    <col min="50" max="50" width="16" customWidth="1"/>
    <col min="51" max="51" width="5.453125" style="9" customWidth="1"/>
    <col min="54" max="54" width="13.7265625" bestFit="1" customWidth="1"/>
    <col min="55" max="55" width="23.08984375" bestFit="1" customWidth="1"/>
    <col min="58" max="58" width="6.81640625" style="9" customWidth="1"/>
    <col min="61" max="61" width="11" bestFit="1" customWidth="1"/>
    <col min="62" max="62" width="23.08984375" bestFit="1" customWidth="1"/>
    <col min="65" max="65" width="8.7265625" style="9"/>
    <col min="68" max="68" width="10.81640625" bestFit="1" customWidth="1"/>
    <col min="69" max="69" width="14.90625" bestFit="1" customWidth="1"/>
    <col min="72" max="72" width="8.7265625" style="9"/>
    <col min="75" max="75" width="19.26953125" bestFit="1" customWidth="1"/>
    <col min="76" max="76" width="16.26953125" bestFit="1" customWidth="1"/>
    <col min="79" max="79" width="8.7265625" style="9"/>
    <col min="83" max="83" width="10.1796875" bestFit="1" customWidth="1"/>
    <col min="84" max="85" width="16.08984375" bestFit="1" customWidth="1"/>
    <col min="86" max="86" width="12.7265625" bestFit="1" customWidth="1"/>
    <col min="87" max="87" width="9.81640625" bestFit="1" customWidth="1"/>
    <col min="90" max="90" width="19.54296875" bestFit="1" customWidth="1"/>
    <col min="93" max="93" width="8.7265625" style="9"/>
    <col min="96" max="96" width="13.26953125" bestFit="1" customWidth="1"/>
    <col min="97" max="97" width="13.90625" bestFit="1" customWidth="1"/>
    <col min="98" max="98" width="16.08984375" bestFit="1" customWidth="1"/>
    <col min="99" max="99" width="13.90625" bestFit="1" customWidth="1"/>
    <col min="103" max="103" width="6.90625" style="29" customWidth="1"/>
    <col min="111" max="111" width="8.7265625" style="9"/>
    <col min="116" max="116" width="12.1796875" bestFit="1" customWidth="1"/>
    <col min="117" max="117" width="16.08984375" bestFit="1" customWidth="1"/>
    <col min="118" max="118" width="17.1796875" bestFit="1" customWidth="1"/>
    <col min="119" max="119" width="17.1796875" customWidth="1"/>
    <col min="120" max="120" width="8.7265625" style="9"/>
    <col min="125" max="126" width="16.08984375" bestFit="1" customWidth="1"/>
    <col min="127" max="127" width="13.90625" bestFit="1" customWidth="1"/>
    <col min="132" max="132" width="8.7265625" style="9"/>
    <col min="138" max="138" width="23.08984375" bestFit="1" customWidth="1"/>
  </cols>
  <sheetData>
    <row r="2" spans="2:138" x14ac:dyDescent="0.35">
      <c r="B2" s="13" t="s">
        <v>513</v>
      </c>
      <c r="C2" s="7"/>
      <c r="D2" s="7"/>
      <c r="G2" s="14" t="s">
        <v>539</v>
      </c>
    </row>
    <row r="3" spans="2:138" x14ac:dyDescent="0.35">
      <c r="B3" s="11" t="s">
        <v>514</v>
      </c>
      <c r="C3" s="7"/>
      <c r="D3" s="7"/>
      <c r="G3" s="7" t="s">
        <v>540</v>
      </c>
    </row>
    <row r="4" spans="2:138" x14ac:dyDescent="0.35">
      <c r="B4" s="11" t="s">
        <v>515</v>
      </c>
      <c r="C4" s="7"/>
      <c r="D4" s="7"/>
      <c r="G4" s="7" t="s">
        <v>541</v>
      </c>
    </row>
    <row r="5" spans="2:138" x14ac:dyDescent="0.35">
      <c r="B5" s="11" t="s">
        <v>516</v>
      </c>
      <c r="C5" s="7"/>
      <c r="D5" s="7"/>
      <c r="G5" s="7" t="s">
        <v>542</v>
      </c>
    </row>
    <row r="6" spans="2:138" x14ac:dyDescent="0.35">
      <c r="B6" s="11" t="s">
        <v>517</v>
      </c>
      <c r="C6" s="7"/>
      <c r="D6" s="7"/>
      <c r="G6" s="7" t="s">
        <v>543</v>
      </c>
    </row>
    <row r="7" spans="2:138" x14ac:dyDescent="0.35">
      <c r="B7" s="11" t="s">
        <v>518</v>
      </c>
      <c r="C7" s="7"/>
      <c r="D7" s="7"/>
      <c r="G7" s="15"/>
    </row>
    <row r="8" spans="2:138" x14ac:dyDescent="0.35">
      <c r="B8" s="11" t="s">
        <v>519</v>
      </c>
      <c r="C8" s="7"/>
      <c r="D8" s="7"/>
    </row>
    <row r="9" spans="2:138" x14ac:dyDescent="0.35">
      <c r="B9" s="11" t="s">
        <v>520</v>
      </c>
      <c r="C9" s="7"/>
      <c r="D9" s="7"/>
    </row>
    <row r="10" spans="2:138" x14ac:dyDescent="0.35">
      <c r="B10" s="11" t="s">
        <v>521</v>
      </c>
      <c r="C10" s="7"/>
      <c r="D10" s="7"/>
    </row>
    <row r="11" spans="2:138" x14ac:dyDescent="0.35">
      <c r="B11" s="12" t="s">
        <v>522</v>
      </c>
      <c r="C11" s="7"/>
      <c r="D11" s="7"/>
    </row>
    <row r="12" spans="2:138" x14ac:dyDescent="0.35">
      <c r="DU12" s="6" t="s">
        <v>7</v>
      </c>
      <c r="DV12" t="s">
        <v>511</v>
      </c>
      <c r="EG12" s="6" t="s">
        <v>7</v>
      </c>
      <c r="EH12" t="s">
        <v>536</v>
      </c>
    </row>
    <row r="13" spans="2:138" x14ac:dyDescent="0.35">
      <c r="DL13" s="6" t="s">
        <v>8</v>
      </c>
      <c r="DM13" t="s">
        <v>511</v>
      </c>
      <c r="DU13" t="s">
        <v>40</v>
      </c>
      <c r="DV13" s="5">
        <v>29916467126</v>
      </c>
      <c r="EG13" t="s">
        <v>40</v>
      </c>
      <c r="EH13" s="17">
        <v>36.156682027649772</v>
      </c>
    </row>
    <row r="14" spans="2:138" x14ac:dyDescent="0.35">
      <c r="CI14" s="23" t="s">
        <v>552</v>
      </c>
      <c r="CJ14">
        <v>2</v>
      </c>
      <c r="CS14" s="6" t="s">
        <v>3</v>
      </c>
      <c r="CT14" t="s">
        <v>511</v>
      </c>
      <c r="DL14" t="s">
        <v>46</v>
      </c>
      <c r="DM14">
        <v>4943582294</v>
      </c>
      <c r="DO14" t="str">
        <f>IF(ABS(DM14)&gt;=1000000000,TEXT(DM14/1000000000,"0.00")&amp;"B",
IF(ABS(DM14)&gt;=1000000,TEXT(DM14/1000000,"0.00")&amp;"M",
IF(ABS(DM14)&gt;=1000,TEXT(DM14/1000,"0.00")&amp;"K",
IF(ABS(DM14)&gt;=100,TEXT(DM14/100,"0.00")&amp;"H",
TEXT(DM14,"0")))))</f>
        <v>4.94B</v>
      </c>
      <c r="DU14" t="s">
        <v>504</v>
      </c>
      <c r="DV14" s="5">
        <v>13347114562</v>
      </c>
      <c r="EG14" t="s">
        <v>505</v>
      </c>
      <c r="EH14" s="17">
        <v>35.023809523809526</v>
      </c>
    </row>
    <row r="15" spans="2:138" x14ac:dyDescent="0.35">
      <c r="B15" s="8" t="s">
        <v>538</v>
      </c>
      <c r="G15" s="6" t="s">
        <v>2</v>
      </c>
      <c r="H15" t="s">
        <v>512</v>
      </c>
      <c r="I15" s="5"/>
      <c r="J15" s="5"/>
      <c r="Q15" s="6" t="s">
        <v>7</v>
      </c>
      <c r="R15" t="s">
        <v>512</v>
      </c>
      <c r="X15" s="6" t="s">
        <v>8</v>
      </c>
      <c r="Y15" t="s">
        <v>511</v>
      </c>
      <c r="AE15" s="6" t="s">
        <v>3</v>
      </c>
      <c r="AF15" t="s">
        <v>511</v>
      </c>
      <c r="AL15" s="6" t="s">
        <v>9</v>
      </c>
      <c r="AM15" t="s">
        <v>523</v>
      </c>
      <c r="AS15" s="6" t="s">
        <v>498</v>
      </c>
      <c r="AT15" t="s">
        <v>511</v>
      </c>
      <c r="AU15" t="s">
        <v>561</v>
      </c>
      <c r="AV15" t="s">
        <v>523</v>
      </c>
      <c r="AW15" t="s">
        <v>548</v>
      </c>
      <c r="BB15" s="6" t="s">
        <v>7</v>
      </c>
      <c r="BC15" t="s">
        <v>536</v>
      </c>
      <c r="BI15" s="6" t="s">
        <v>2</v>
      </c>
      <c r="BJ15" t="s">
        <v>536</v>
      </c>
      <c r="BP15" s="6" t="s">
        <v>3</v>
      </c>
      <c r="BQ15" t="s">
        <v>537</v>
      </c>
      <c r="BW15" s="6" t="s">
        <v>8</v>
      </c>
      <c r="BX15" t="s">
        <v>523</v>
      </c>
      <c r="CE15" s="6" t="s">
        <v>498</v>
      </c>
      <c r="CF15" t="s">
        <v>523</v>
      </c>
      <c r="CG15" t="s">
        <v>511</v>
      </c>
      <c r="CS15" t="s">
        <v>32</v>
      </c>
      <c r="CT15" s="5">
        <v>23366658910</v>
      </c>
      <c r="DL15" t="s">
        <v>506</v>
      </c>
      <c r="DM15">
        <v>48161966148</v>
      </c>
      <c r="DO15" t="str">
        <f>IF(ABS(DM15)&gt;=1000000000,TEXT(DM15/1000000000,"0.00")&amp;"B",
IF(ABS(DM15)&gt;=1000000,TEXT(DM15/1000000,"0.00")&amp;"M",
IF(ABS(DM15)&gt;=1000,TEXT(DM15/1000,"0.00")&amp;"K",
IF(ABS(DM15)&gt;=100,TEXT(DM15/100,"0.00")&amp;"H",
TEXT(DM15,"0")))))</f>
        <v>48.16B</v>
      </c>
      <c r="DU15" t="s">
        <v>70</v>
      </c>
      <c r="DV15" s="5">
        <v>12240770116</v>
      </c>
      <c r="EG15" t="s">
        <v>504</v>
      </c>
      <c r="EH15" s="17">
        <v>33.68181818181818</v>
      </c>
    </row>
    <row r="16" spans="2:138" x14ac:dyDescent="0.35">
      <c r="F16" s="5"/>
      <c r="G16" t="s">
        <v>76</v>
      </c>
      <c r="H16" s="5">
        <v>20765486077</v>
      </c>
      <c r="I16" s="5"/>
      <c r="J16" s="5"/>
      <c r="K16" s="5"/>
      <c r="L16" s="5"/>
      <c r="M16" s="5"/>
      <c r="N16" s="10"/>
      <c r="Q16" t="s">
        <v>40</v>
      </c>
      <c r="R16" s="5">
        <v>29916467126</v>
      </c>
      <c r="S16" s="5"/>
      <c r="T16" s="5"/>
      <c r="X16" t="s">
        <v>506</v>
      </c>
      <c r="Y16" s="5">
        <v>48161966148</v>
      </c>
      <c r="Z16" s="5"/>
      <c r="AA16" s="5"/>
      <c r="AE16" t="s">
        <v>32</v>
      </c>
      <c r="AF16" s="5">
        <v>23366658910</v>
      </c>
      <c r="AG16" s="5"/>
      <c r="AH16" s="5"/>
      <c r="AL16" t="s">
        <v>25</v>
      </c>
      <c r="AM16">
        <v>294</v>
      </c>
      <c r="AS16" t="s">
        <v>524</v>
      </c>
      <c r="AT16" s="5">
        <v>2552262020</v>
      </c>
      <c r="AU16" s="18"/>
      <c r="AV16" s="18"/>
      <c r="AW16" s="4">
        <v>31</v>
      </c>
      <c r="AX16" s="4"/>
      <c r="BB16" t="s">
        <v>504</v>
      </c>
      <c r="BC16" s="4">
        <v>33.68181818181818</v>
      </c>
      <c r="BI16" t="s">
        <v>503</v>
      </c>
      <c r="BJ16" s="4">
        <v>32.806122448979593</v>
      </c>
      <c r="BP16" t="s">
        <v>28</v>
      </c>
      <c r="BQ16" s="2">
        <v>44836</v>
      </c>
      <c r="BW16" t="s">
        <v>46</v>
      </c>
      <c r="BX16">
        <v>83</v>
      </c>
      <c r="CE16" t="s">
        <v>524</v>
      </c>
      <c r="CF16">
        <v>31</v>
      </c>
      <c r="CG16" s="5">
        <v>2552262020</v>
      </c>
      <c r="CS16" t="s">
        <v>64</v>
      </c>
      <c r="CT16" s="5">
        <v>13659856374</v>
      </c>
      <c r="DL16" t="s">
        <v>14</v>
      </c>
      <c r="DM16">
        <v>9845243312</v>
      </c>
      <c r="DO16" t="str">
        <f>IF(ABS(DM16)&gt;=1000000000,TEXT(DM16/1000000000,"0.00")&amp;"B",
IF(ABS(DM16)&gt;=1000000,TEXT(DM16/1000000,"0.00")&amp;"M",
IF(ABS(DM16)&gt;=1000,TEXT(DM16/1000,"0.00")&amp;"K",
IF(ABS(DM16)&gt;=100,TEXT(DM16/100,"0.00")&amp;"H",
TEXT(DM16,"0")))))</f>
        <v>9.85B</v>
      </c>
      <c r="DU16" t="s">
        <v>560</v>
      </c>
      <c r="DV16" s="5">
        <v>4776068802</v>
      </c>
      <c r="EG16" t="s">
        <v>70</v>
      </c>
      <c r="EH16" s="17">
        <v>30.333333333333332</v>
      </c>
    </row>
    <row r="17" spans="2:139" x14ac:dyDescent="0.35">
      <c r="B17" t="s">
        <v>512</v>
      </c>
      <c r="F17" s="5"/>
      <c r="G17" t="s">
        <v>503</v>
      </c>
      <c r="H17" s="5">
        <v>13651877020</v>
      </c>
      <c r="I17" s="5"/>
      <c r="J17" s="5"/>
      <c r="K17" s="5"/>
      <c r="L17" s="5"/>
      <c r="M17" s="5"/>
      <c r="N17" s="10"/>
      <c r="Q17" t="s">
        <v>504</v>
      </c>
      <c r="R17" s="5">
        <v>13347114562</v>
      </c>
      <c r="S17" s="5"/>
      <c r="T17" s="5"/>
      <c r="X17" t="s">
        <v>14</v>
      </c>
      <c r="Y17" s="5">
        <v>9845243312</v>
      </c>
      <c r="Z17" s="5"/>
      <c r="AA17" s="5"/>
      <c r="AE17" t="s">
        <v>64</v>
      </c>
      <c r="AF17" s="5">
        <v>13659856374</v>
      </c>
      <c r="AG17" s="5"/>
      <c r="AH17" s="5"/>
      <c r="AL17" t="s">
        <v>74</v>
      </c>
      <c r="AM17">
        <v>71</v>
      </c>
      <c r="AS17" t="s">
        <v>525</v>
      </c>
      <c r="AT17" s="5">
        <v>6684356603</v>
      </c>
      <c r="AU17" s="18">
        <v>1.6189930934285501</v>
      </c>
      <c r="AV17" s="18">
        <v>0.12903225806451613</v>
      </c>
      <c r="AW17" s="4">
        <v>35</v>
      </c>
      <c r="AX17" s="4"/>
      <c r="BB17" t="s">
        <v>505</v>
      </c>
      <c r="BC17" s="4">
        <v>35.023809523809526</v>
      </c>
      <c r="BI17" t="s">
        <v>76</v>
      </c>
      <c r="BJ17" s="4">
        <v>33.185897435897438</v>
      </c>
      <c r="BP17" t="s">
        <v>32</v>
      </c>
      <c r="BQ17" s="2">
        <v>134529</v>
      </c>
      <c r="BW17" t="s">
        <v>506</v>
      </c>
      <c r="BX17">
        <v>320</v>
      </c>
      <c r="CE17" t="s">
        <v>525</v>
      </c>
      <c r="CF17">
        <v>35</v>
      </c>
      <c r="CG17" s="5">
        <v>6684356603</v>
      </c>
      <c r="CS17" t="s">
        <v>28</v>
      </c>
      <c r="CT17" s="5">
        <v>11326536620</v>
      </c>
      <c r="DU17" t="s">
        <v>505</v>
      </c>
      <c r="DV17" s="5">
        <v>2670371148</v>
      </c>
      <c r="EG17" t="s">
        <v>560</v>
      </c>
      <c r="EH17" s="17">
        <v>23.469387755102041</v>
      </c>
    </row>
    <row r="18" spans="2:139" x14ac:dyDescent="0.35">
      <c r="B18" s="5">
        <v>62950791754</v>
      </c>
      <c r="F18" s="5"/>
      <c r="G18" t="s">
        <v>510</v>
      </c>
      <c r="H18" s="5">
        <v>11337827562</v>
      </c>
      <c r="I18" s="5"/>
      <c r="J18" s="5"/>
      <c r="K18" s="5"/>
      <c r="L18" s="5"/>
      <c r="M18" s="5"/>
      <c r="N18" s="10"/>
      <c r="Q18" t="s">
        <v>70</v>
      </c>
      <c r="R18" s="5">
        <v>12240770116</v>
      </c>
      <c r="S18" s="5"/>
      <c r="T18" s="5"/>
      <c r="X18" t="s">
        <v>46</v>
      </c>
      <c r="Y18" s="5">
        <v>4943582294</v>
      </c>
      <c r="Z18" s="5"/>
      <c r="AA18" s="5"/>
      <c r="AE18" t="s">
        <v>28</v>
      </c>
      <c r="AF18" s="5">
        <v>11326536620</v>
      </c>
      <c r="AG18" s="5"/>
      <c r="AH18" s="5"/>
      <c r="AL18" t="s">
        <v>42</v>
      </c>
      <c r="AM18">
        <v>70</v>
      </c>
      <c r="AS18" t="s">
        <v>526</v>
      </c>
      <c r="AT18" s="5">
        <v>2871353470</v>
      </c>
      <c r="AU18" s="18">
        <v>-0.57043682129237239</v>
      </c>
      <c r="AV18" s="18">
        <v>0.4</v>
      </c>
      <c r="AW18" s="4">
        <v>49</v>
      </c>
      <c r="AX18" s="4"/>
      <c r="BB18" t="s">
        <v>70</v>
      </c>
      <c r="BC18" s="4">
        <v>30.333333333333332</v>
      </c>
      <c r="BI18" t="s">
        <v>11</v>
      </c>
      <c r="BJ18" s="4">
        <v>35.782608695652172</v>
      </c>
      <c r="BP18" t="s">
        <v>39</v>
      </c>
      <c r="BQ18" s="2">
        <v>44722</v>
      </c>
      <c r="BW18" t="s">
        <v>14</v>
      </c>
      <c r="BX18">
        <v>97</v>
      </c>
      <c r="CE18" t="s">
        <v>526</v>
      </c>
      <c r="CF18">
        <v>49</v>
      </c>
      <c r="CG18" s="5">
        <v>2871353470</v>
      </c>
      <c r="CS18" t="s">
        <v>89</v>
      </c>
      <c r="CT18" s="5">
        <v>6920606258</v>
      </c>
    </row>
    <row r="19" spans="2:139" x14ac:dyDescent="0.35">
      <c r="F19" s="5"/>
      <c r="G19" t="s">
        <v>502</v>
      </c>
      <c r="H19" s="5">
        <v>7297567564</v>
      </c>
      <c r="I19" s="5"/>
      <c r="J19" s="5"/>
      <c r="K19" s="5"/>
      <c r="L19" s="5"/>
      <c r="M19" s="5"/>
      <c r="N19" s="10"/>
      <c r="Q19" t="s">
        <v>560</v>
      </c>
      <c r="R19" s="5">
        <v>4776068802</v>
      </c>
      <c r="S19" s="5"/>
      <c r="T19" s="5"/>
      <c r="X19" t="s">
        <v>509</v>
      </c>
      <c r="Y19" s="5">
        <v>62950791754</v>
      </c>
      <c r="Z19" s="5"/>
      <c r="AA19" s="5"/>
      <c r="AE19" t="s">
        <v>89</v>
      </c>
      <c r="AF19" s="5">
        <v>6920606258</v>
      </c>
      <c r="AG19" s="5"/>
      <c r="AH19" s="5"/>
      <c r="AL19" t="s">
        <v>15</v>
      </c>
      <c r="AM19">
        <v>65</v>
      </c>
      <c r="AS19" t="s">
        <v>527</v>
      </c>
      <c r="AT19" s="5">
        <v>4497824519</v>
      </c>
      <c r="AU19" s="18">
        <v>0.56644751891169987</v>
      </c>
      <c r="AV19" s="18">
        <v>-0.20408163265306123</v>
      </c>
      <c r="AW19" s="4">
        <v>39</v>
      </c>
      <c r="AX19" s="4"/>
      <c r="BB19" t="s">
        <v>40</v>
      </c>
      <c r="BC19" s="4">
        <v>36.156682027649772</v>
      </c>
      <c r="BI19" t="s">
        <v>502</v>
      </c>
      <c r="BJ19" s="4">
        <v>33.753623188405797</v>
      </c>
      <c r="BP19" t="s">
        <v>89</v>
      </c>
      <c r="BQ19" s="2">
        <v>44626</v>
      </c>
      <c r="BW19" t="s">
        <v>509</v>
      </c>
      <c r="BX19">
        <v>500</v>
      </c>
      <c r="CE19" t="s">
        <v>527</v>
      </c>
      <c r="CF19">
        <v>39</v>
      </c>
      <c r="CG19" s="5">
        <v>4497824519</v>
      </c>
      <c r="CS19" t="s">
        <v>39</v>
      </c>
      <c r="CT19" s="5">
        <v>5031054298</v>
      </c>
    </row>
    <row r="20" spans="2:139" x14ac:dyDescent="0.35">
      <c r="B20" t="str">
        <f>IF(ABS(B18)&gt;=1000000000000,TEXT(B18/1000000000000,"₦0.00")&amp;"T",IF(ABS(B18)&gt;=1000000000,TEXT(B18/1000000000,"₦0.00")&amp;"B",
IF(ABS(B18)&gt;=1000000,TEXT(B18/1000000,"₦0.00")&amp;"M",
IF(ABS(B18)&gt;=1000,TEXT(B18/1000,"₦0.00")&amp;"K",
IF(ABS(B18)&gt;=100,TEXT(B18/100,"₦0.00")&amp;"H",
TEXT(B18,"₦0"))))))</f>
        <v>₦62.95B</v>
      </c>
      <c r="F20" s="5"/>
      <c r="G20" t="s">
        <v>17</v>
      </c>
      <c r="H20" s="5">
        <v>5139050769</v>
      </c>
      <c r="I20" s="5"/>
      <c r="J20" s="5"/>
      <c r="K20" s="5"/>
      <c r="L20" s="5"/>
      <c r="M20" s="5"/>
      <c r="N20" s="10"/>
      <c r="Q20" t="s">
        <v>505</v>
      </c>
      <c r="R20" s="5">
        <v>2670371148</v>
      </c>
      <c r="S20" s="5"/>
      <c r="T20" s="5"/>
      <c r="AE20" t="s">
        <v>39</v>
      </c>
      <c r="AF20" s="5">
        <v>5031054298</v>
      </c>
      <c r="AG20" s="5"/>
      <c r="AH20" s="5"/>
      <c r="AS20" t="s">
        <v>528</v>
      </c>
      <c r="AT20" s="5">
        <v>4889936378</v>
      </c>
      <c r="AU20" s="18">
        <v>8.7178114073507271E-2</v>
      </c>
      <c r="AV20" s="18">
        <v>5.128205128205128E-2</v>
      </c>
      <c r="AW20" s="4">
        <v>41</v>
      </c>
      <c r="AX20" s="4"/>
      <c r="BB20" t="s">
        <v>560</v>
      </c>
      <c r="BC20" s="4">
        <v>23.469387755102041</v>
      </c>
      <c r="BI20" t="s">
        <v>17</v>
      </c>
      <c r="BJ20" s="4">
        <v>18</v>
      </c>
      <c r="BP20" t="s">
        <v>64</v>
      </c>
      <c r="BQ20" s="2">
        <v>51895</v>
      </c>
      <c r="CE20" t="s">
        <v>528</v>
      </c>
      <c r="CF20">
        <v>41</v>
      </c>
      <c r="CG20" s="5">
        <v>4889936378</v>
      </c>
      <c r="CS20" t="s">
        <v>73</v>
      </c>
      <c r="CT20" s="5">
        <v>2646079294</v>
      </c>
    </row>
    <row r="21" spans="2:139" x14ac:dyDescent="0.35">
      <c r="F21" s="5"/>
      <c r="G21" t="s">
        <v>11</v>
      </c>
      <c r="H21" s="5">
        <v>4758982762</v>
      </c>
      <c r="I21" s="5"/>
      <c r="J21" s="5"/>
      <c r="K21" s="5"/>
      <c r="L21" s="5"/>
      <c r="M21" s="5"/>
      <c r="N21" s="10"/>
      <c r="Q21" t="s">
        <v>509</v>
      </c>
      <c r="R21" s="5">
        <v>62950791754</v>
      </c>
      <c r="S21" s="5"/>
      <c r="T21" s="5"/>
      <c r="AE21" t="s">
        <v>73</v>
      </c>
      <c r="AF21" s="5">
        <v>2646079294</v>
      </c>
      <c r="AG21" s="5"/>
      <c r="AH21" s="5"/>
      <c r="AS21" t="s">
        <v>529</v>
      </c>
      <c r="AT21" s="5">
        <v>4616989006</v>
      </c>
      <c r="AU21" s="18">
        <v>-5.5818184716676489E-2</v>
      </c>
      <c r="AV21" s="18">
        <v>-0.36585365853658536</v>
      </c>
      <c r="AW21" s="4">
        <v>26</v>
      </c>
      <c r="AX21" s="4"/>
      <c r="BB21" t="s">
        <v>509</v>
      </c>
      <c r="BC21" s="4">
        <v>33.024000000000001</v>
      </c>
      <c r="BI21" t="s">
        <v>510</v>
      </c>
      <c r="BJ21" s="4">
        <v>40.966666666666669</v>
      </c>
      <c r="BP21" t="s">
        <v>73</v>
      </c>
      <c r="BQ21" s="2">
        <v>36640</v>
      </c>
      <c r="CE21" t="s">
        <v>529</v>
      </c>
      <c r="CF21">
        <v>26</v>
      </c>
      <c r="CG21" s="5">
        <v>4616989006</v>
      </c>
      <c r="DL21" t="str" cm="1">
        <f t="array" ref="DL21:DM24">DL13:DM16</f>
        <v>Customer_Region</v>
      </c>
      <c r="DM21" t="str">
        <v>Sum of Total Sales</v>
      </c>
      <c r="EG21" t="str" cm="1">
        <f t="array" ref="EG21:EH26">EG12:EH17</f>
        <v>Warehouse</v>
      </c>
      <c r="EH21" t="str">
        <v>Average of Delivery_Days</v>
      </c>
      <c r="EI21" t="s">
        <v>554</v>
      </c>
    </row>
    <row r="22" spans="2:139" x14ac:dyDescent="0.35">
      <c r="F22" s="5"/>
      <c r="G22" t="s">
        <v>509</v>
      </c>
      <c r="H22" s="5">
        <v>62950791754</v>
      </c>
      <c r="K22" s="5"/>
      <c r="L22" s="5"/>
      <c r="M22" s="5"/>
      <c r="N22" s="10"/>
      <c r="AE22" t="s">
        <v>509</v>
      </c>
      <c r="AF22" s="5">
        <v>62950791754</v>
      </c>
      <c r="AG22" s="5"/>
      <c r="AH22" s="5"/>
      <c r="AS22" t="s">
        <v>530</v>
      </c>
      <c r="AT22" s="5">
        <v>7184057668</v>
      </c>
      <c r="AU22" s="18">
        <v>0.55600493279580487</v>
      </c>
      <c r="AV22" s="18">
        <v>0.5</v>
      </c>
      <c r="AW22" s="4">
        <v>39</v>
      </c>
      <c r="AX22" s="4"/>
      <c r="BI22" t="s">
        <v>509</v>
      </c>
      <c r="BJ22" s="4">
        <v>33.024000000000001</v>
      </c>
      <c r="BP22" t="s">
        <v>509</v>
      </c>
      <c r="BQ22" s="2">
        <v>357248</v>
      </c>
      <c r="CE22" t="s">
        <v>530</v>
      </c>
      <c r="CF22">
        <v>39</v>
      </c>
      <c r="CG22" s="5">
        <v>7184057668</v>
      </c>
      <c r="DL22" t="str">
        <v>North East</v>
      </c>
      <c r="DM22">
        <v>4943582294</v>
      </c>
      <c r="DN22" t="str">
        <f>IF(DM22=MAX($DM$22:$DM$24),DM22,"")</f>
        <v/>
      </c>
      <c r="DO22" s="18">
        <f>DM22/SUM($DM$22:$DM$24)</f>
        <v>7.8530899393904383E-2</v>
      </c>
      <c r="DU22" s="30" t="str" cm="1">
        <f t="array" ref="DU22:DV27">DU12:DV17</f>
        <v>Warehouse</v>
      </c>
      <c r="DV22" s="30" t="str">
        <v>Sum of Total Sales</v>
      </c>
      <c r="DW22" s="30" t="s">
        <v>554</v>
      </c>
      <c r="DX22" s="30"/>
      <c r="EG22" t="str">
        <v>Port Harcourt</v>
      </c>
      <c r="EH22" s="17">
        <v>36.156682027649772</v>
      </c>
      <c r="EI22">
        <f>IF(EH22=MAX($EH$22:$EH$26),EH22,"")</f>
        <v>36.156682027649772</v>
      </c>
    </row>
    <row r="23" spans="2:139" x14ac:dyDescent="0.35">
      <c r="AK23" t="str" cm="1">
        <f t="array" ref="AK23:AL27">AL15:AM19</f>
        <v>Order_Status</v>
      </c>
      <c r="AL23" t="str">
        <v>Count of Order ID</v>
      </c>
      <c r="AS23" t="s">
        <v>531</v>
      </c>
      <c r="AT23" s="5">
        <v>2573832218</v>
      </c>
      <c r="AU23" s="18">
        <v>-0.64173001708148314</v>
      </c>
      <c r="AV23" s="18">
        <v>-7.6923076923076927E-2</v>
      </c>
      <c r="AW23" s="4">
        <v>36</v>
      </c>
      <c r="AX23" s="4"/>
      <c r="CE23" t="s">
        <v>531</v>
      </c>
      <c r="CF23">
        <v>36</v>
      </c>
      <c r="CG23" s="5">
        <v>2573832218</v>
      </c>
      <c r="DL23" t="str">
        <v>South-South</v>
      </c>
      <c r="DM23">
        <v>48161966148</v>
      </c>
      <c r="DN23">
        <f t="shared" ref="DN23:DN24" si="0">IF(DM23=MAX($DM$22:$DM$24),DM23,"")</f>
        <v>48161966148</v>
      </c>
      <c r="DO23" s="18">
        <f>DM23/SUM($DM$22:$DM$24)</f>
        <v>0.7650732390500824</v>
      </c>
      <c r="DU23" t="str">
        <v>Port Harcourt</v>
      </c>
      <c r="DV23">
        <v>29916467126</v>
      </c>
      <c r="DW23" s="2">
        <f>IF(DV23=MAX($DV$23:$DV$27),DV23,"")</f>
        <v>29916467126</v>
      </c>
      <c r="DX23" t="str">
        <f>IF(ABS(DV23)&gt;=1000000000,TEXT(DV23/1000000000,"0.00")&amp;"B",
IF(ABS(DV23)&gt;=1000000,TEXT(DV23/1000000,"0.00")&amp;"M",
IF(ABS(DV23)&gt;=1000,TEXT(DV23/1000,"0.00")&amp;"K",
IF(ABS(DV23)&gt;=100,TEXT(DV23/100,"0.00")&amp;"H",
TEXT(DV23,"0")))))</f>
        <v>29.92B</v>
      </c>
      <c r="EG23" t="str">
        <v>Kano</v>
      </c>
      <c r="EH23" s="17">
        <v>35.023809523809526</v>
      </c>
      <c r="EI23" t="str">
        <f t="shared" ref="EI23:EI26" si="1">IF(EH23=MAX($EH$22:$EH$26),EH23,"")</f>
        <v/>
      </c>
    </row>
    <row r="24" spans="2:139" x14ac:dyDescent="0.35">
      <c r="AK24" t="str">
        <v>Delivered</v>
      </c>
      <c r="AL24">
        <v>294</v>
      </c>
      <c r="AS24" t="s">
        <v>532</v>
      </c>
      <c r="AT24" s="5">
        <v>10797844446</v>
      </c>
      <c r="AU24" s="18">
        <v>3.1952402221425609</v>
      </c>
      <c r="AV24" s="18">
        <v>0.33333333333333331</v>
      </c>
      <c r="AW24" s="4">
        <v>48</v>
      </c>
      <c r="AX24" s="4"/>
      <c r="CE24" t="s">
        <v>532</v>
      </c>
      <c r="CF24">
        <v>48</v>
      </c>
      <c r="CG24" s="5">
        <v>10797844446</v>
      </c>
      <c r="DL24" t="str">
        <v>South-West</v>
      </c>
      <c r="DM24">
        <v>9845243312</v>
      </c>
      <c r="DN24" t="str">
        <f t="shared" si="0"/>
        <v/>
      </c>
      <c r="DO24" s="18">
        <f>DM24/SUM($DM$22:$DM$24)</f>
        <v>0.15639586155601318</v>
      </c>
      <c r="DU24" t="str">
        <v>Abuja</v>
      </c>
      <c r="DV24">
        <v>13347114562</v>
      </c>
      <c r="DW24" s="2" t="str">
        <f t="shared" ref="DW24:DW27" si="2">IF(DV24=MAX($DV$23:$DV$27),DV24,"")</f>
        <v/>
      </c>
      <c r="DX24" t="str">
        <f t="shared" ref="DX24:DX27" si="3">IF(ABS(DV24)&gt;=1000000000,TEXT(DV24/1000000000,"0.00")&amp;"B",
IF(ABS(DV24)&gt;=1000000,TEXT(DV24/1000000,"0.00")&amp;"M",
IF(ABS(DV24)&gt;=1000,TEXT(DV24/1000,"0.00")&amp;"K",
IF(ABS(DV24)&gt;=100,TEXT(DV24/100,"0.00")&amp;"H",
TEXT(DV24,"0")))))</f>
        <v>13.35B</v>
      </c>
      <c r="EG24" t="str">
        <v>Abuja</v>
      </c>
      <c r="EH24" s="17">
        <v>33.68181818181818</v>
      </c>
      <c r="EI24" t="str">
        <f t="shared" si="1"/>
        <v/>
      </c>
    </row>
    <row r="25" spans="2:139" x14ac:dyDescent="0.35">
      <c r="AK25" t="str">
        <v>Cancelled</v>
      </c>
      <c r="AL25">
        <v>71</v>
      </c>
      <c r="AS25" t="s">
        <v>533</v>
      </c>
      <c r="AT25" s="5">
        <v>2376684984</v>
      </c>
      <c r="AU25" s="18">
        <v>-0.77989264469535591</v>
      </c>
      <c r="AV25" s="18">
        <v>-4.1666666666666664E-2</v>
      </c>
      <c r="AW25" s="4">
        <v>46</v>
      </c>
      <c r="AX25" s="4"/>
      <c r="CE25" t="s">
        <v>533</v>
      </c>
      <c r="CF25">
        <v>46</v>
      </c>
      <c r="CG25" s="5">
        <v>2376684984</v>
      </c>
      <c r="CS25" s="26" t="str" cm="1">
        <f t="array" ref="CS25:CT31">CS14:CT20</f>
        <v>Product</v>
      </c>
      <c r="CT25" s="26" t="str">
        <v>Sum of Total Sales</v>
      </c>
      <c r="CU25" s="26" t="s">
        <v>554</v>
      </c>
      <c r="CV25" s="26"/>
      <c r="DU25" t="str">
        <v>Lagos</v>
      </c>
      <c r="DV25">
        <v>12240770116</v>
      </c>
      <c r="DW25" s="2" t="str">
        <f t="shared" si="2"/>
        <v/>
      </c>
      <c r="DX25" t="str">
        <f t="shared" si="3"/>
        <v>12.24B</v>
      </c>
      <c r="EG25" t="str">
        <v>Lagos</v>
      </c>
      <c r="EH25" s="17">
        <v>30.333333333333332</v>
      </c>
      <c r="EI25" t="str">
        <f t="shared" si="1"/>
        <v/>
      </c>
    </row>
    <row r="26" spans="2:139" x14ac:dyDescent="0.35">
      <c r="AK26" t="str">
        <v>Returned</v>
      </c>
      <c r="AL26">
        <v>70</v>
      </c>
      <c r="AS26" t="s">
        <v>534</v>
      </c>
      <c r="AT26" s="5">
        <v>6909951776</v>
      </c>
      <c r="AU26" s="18">
        <v>1.9073906817766135</v>
      </c>
      <c r="AV26" s="18">
        <v>8.6956521739130432E-2</v>
      </c>
      <c r="AW26" s="4">
        <v>50</v>
      </c>
      <c r="AX26" s="4"/>
      <c r="CE26" t="s">
        <v>534</v>
      </c>
      <c r="CF26">
        <v>50</v>
      </c>
      <c r="CG26" s="5">
        <v>6909951776</v>
      </c>
      <c r="CS26" t="str">
        <v>Laptop</v>
      </c>
      <c r="CT26" s="2">
        <v>23366658910</v>
      </c>
      <c r="CU26" s="2">
        <f>IF(CT26=MAX($CT$26:$CT$31),CT26,"")</f>
        <v>23366658910</v>
      </c>
      <c r="CV26" t="str">
        <f>IF(ABS(CT26)&gt;=1000000000,TEXT(CT26/1000000000,"0.00")&amp;"B",
IF(ABS(CT26)&gt;=1000000,TEXT(CT26/1000000,"0.00")&amp;"M",
IF(ABS(CT26)&gt;=1000,TEXT(CT26/1000,"0.00")&amp;"K",
IF(ABS(CT26)&gt;=100,TEXT(CT26/100,"0.00")&amp;"H",
TEXT(CT26,"0")))))</f>
        <v>23.37B</v>
      </c>
      <c r="DU26" t="str">
        <v>Not Assigned</v>
      </c>
      <c r="DV26">
        <v>4776068802</v>
      </c>
      <c r="DW26" s="2" t="str">
        <f t="shared" si="2"/>
        <v/>
      </c>
      <c r="DX26" t="str">
        <f t="shared" si="3"/>
        <v>4.78B</v>
      </c>
      <c r="EG26" t="str">
        <v>Not Assigned</v>
      </c>
      <c r="EH26" s="17">
        <v>23.469387755102041</v>
      </c>
      <c r="EI26" t="str">
        <f t="shared" si="1"/>
        <v/>
      </c>
    </row>
    <row r="27" spans="2:139" x14ac:dyDescent="0.35">
      <c r="B27" t="s">
        <v>523</v>
      </c>
      <c r="AK27" t="str">
        <v>Pending</v>
      </c>
      <c r="AL27">
        <v>65</v>
      </c>
      <c r="AS27" t="s">
        <v>535</v>
      </c>
      <c r="AT27" s="5">
        <v>6995698666</v>
      </c>
      <c r="AU27" s="18">
        <v>1.24091879045843E-2</v>
      </c>
      <c r="AV27" s="18">
        <v>0.2</v>
      </c>
      <c r="AW27" s="4">
        <v>60</v>
      </c>
      <c r="AX27" s="4"/>
      <c r="CE27" t="s">
        <v>535</v>
      </c>
      <c r="CF27">
        <v>60</v>
      </c>
      <c r="CG27" s="5">
        <v>6995698666</v>
      </c>
      <c r="CS27" t="str">
        <v>Soap</v>
      </c>
      <c r="CT27" s="2">
        <v>13659856374</v>
      </c>
      <c r="CU27" s="2" t="str">
        <f t="shared" ref="CU27:CU31" si="4">IF(CT27=MAX($CT$26:$CT$31),CT27,"")</f>
        <v/>
      </c>
      <c r="CV27" t="str">
        <f t="shared" ref="CV27:CV31" si="5">IF(ABS(CT27)&gt;=1000000000,TEXT(CT27/1000000000,"0.00")&amp;"B",
IF(ABS(CT27)&gt;=1000000,TEXT(CT27/1000000,"0.00")&amp;"M",
IF(ABS(CT27)&gt;=1000,TEXT(CT27/1000,"0.00")&amp;"K",
IF(ABS(CT27)&gt;=100,TEXT(CT27/100,"0.00")&amp;"H",
TEXT(CT27,"0")))))</f>
        <v>13.66B</v>
      </c>
      <c r="DU27" t="str">
        <v>Kano</v>
      </c>
      <c r="DV27">
        <v>2670371148</v>
      </c>
      <c r="DW27" s="2" t="str">
        <f t="shared" si="2"/>
        <v/>
      </c>
      <c r="DX27" t="str">
        <f t="shared" si="3"/>
        <v>2.67B</v>
      </c>
    </row>
    <row r="28" spans="2:139" x14ac:dyDescent="0.35">
      <c r="B28">
        <v>500</v>
      </c>
      <c r="CS28" t="str">
        <v>Cement</v>
      </c>
      <c r="CT28" s="2">
        <v>11326536620</v>
      </c>
      <c r="CU28" s="2" t="str">
        <f t="shared" si="4"/>
        <v/>
      </c>
      <c r="CV28" t="str">
        <f t="shared" si="5"/>
        <v>11.33B</v>
      </c>
    </row>
    <row r="29" spans="2:139" x14ac:dyDescent="0.35">
      <c r="CS29" t="str">
        <v>Rice</v>
      </c>
      <c r="CT29" s="2">
        <v>6920606258</v>
      </c>
      <c r="CU29" s="2" t="str">
        <f t="shared" si="4"/>
        <v/>
      </c>
      <c r="CV29" t="str">
        <f t="shared" si="5"/>
        <v>6.92B</v>
      </c>
      <c r="DM29" s="18"/>
    </row>
    <row r="30" spans="2:139" x14ac:dyDescent="0.35">
      <c r="B30" t="str" cm="1">
        <f t="array" ref="B30:B31">B27:B28</f>
        <v>Count of Order ID</v>
      </c>
      <c r="CS30" t="str">
        <v>Noodles</v>
      </c>
      <c r="CT30" s="2">
        <v>5031054298</v>
      </c>
      <c r="CU30" s="2" t="str">
        <f t="shared" si="4"/>
        <v/>
      </c>
      <c r="CV30" t="str">
        <f t="shared" si="5"/>
        <v>5.03B</v>
      </c>
      <c r="DM30" s="18"/>
    </row>
    <row r="31" spans="2:139" x14ac:dyDescent="0.35">
      <c r="B31">
        <v>500</v>
      </c>
      <c r="AT31" s="19" t="s">
        <v>544</v>
      </c>
      <c r="AV31" s="19" t="s">
        <v>547</v>
      </c>
      <c r="CE31" s="26" t="str" cm="1">
        <f t="array" ref="CE31:CE43">CE15:CE27</f>
        <v>Month</v>
      </c>
      <c r="CF31" s="27" t="str">
        <f t="shared" ref="CF31:CF43" si="6">IF(btn = 1,CG15,CF15)</f>
        <v>Count of Order ID</v>
      </c>
      <c r="CG31" s="26" t="s">
        <v>550</v>
      </c>
      <c r="CH31" s="26" t="s">
        <v>551</v>
      </c>
      <c r="CI31" s="26"/>
      <c r="CL31" s="24" t="s">
        <v>553</v>
      </c>
      <c r="CS31" t="str">
        <v>Sugar</v>
      </c>
      <c r="CT31" s="2">
        <v>2646079294</v>
      </c>
      <c r="CU31" s="2" t="str">
        <f t="shared" si="4"/>
        <v/>
      </c>
      <c r="CV31" t="str">
        <f t="shared" si="5"/>
        <v>2.65B</v>
      </c>
      <c r="DM31" s="18"/>
    </row>
    <row r="32" spans="2:139" x14ac:dyDescent="0.35">
      <c r="AT32" s="20" cm="1">
        <f t="array" ref="AT32">INDEX(AT16:AT27,COUNTA(AT16:AT27)-1)</f>
        <v>6909951776</v>
      </c>
      <c r="AU32" t="str">
        <f>IF(ABS(AT32)&gt;=1000000000,TEXT(AT32/1000000000,"₦0.00")&amp;"B",
IF(ABS(AT32)&gt;=1000000,TEXT(AT32/1000000,"₦0.00")&amp;"M",
IF(ABS(AT32)&gt;=1000,TEXT(AT32/1000,"₦0.00")&amp;"K",
IF(ABS(AT32)&gt;=100,TEXT(AT32/100,"₦0.00")&amp;"H",
TEXT(AT32,"₦0")))))</f>
        <v>₦6.91B</v>
      </c>
      <c r="AV32" s="20" cm="1">
        <f t="array" ref="AV32">INDEX(AW16:AW27,COUNTA(AW16:AW27)-1)</f>
        <v>50</v>
      </c>
      <c r="CE32" t="str">
        <v>Jan</v>
      </c>
      <c r="CF32" s="2">
        <f t="shared" si="6"/>
        <v>31</v>
      </c>
      <c r="CG32" s="2" t="e">
        <f>IF(CF32=MAX($CF$32:$CF$43),CF32,NA())</f>
        <v>#N/A</v>
      </c>
      <c r="CH32" s="2" t="e">
        <f>IF(CF32=MIN($CF$32:$CF$43),CF32,NA())</f>
        <v>#N/A</v>
      </c>
      <c r="CI32" t="str">
        <f>IF(ABS(CF32)&gt;=1000000000,TEXT(CF32/1000000000,"0.00")&amp;"B",
IF(ABS(CF32)&gt;=1000000,TEXT(CF32/1000000,"0.00")&amp;"M",
IF(ABS(CF32)&gt;=1000,TEXT(CF32/1000,"0.00")&amp;"K",
IF(ABS(CF32)&gt;=100,TEXT(CF32/100,"0.00")&amp;"H",
TEXT(CF32,"0")))))</f>
        <v>31</v>
      </c>
      <c r="CL32" s="25" t="str">
        <f>IF(btn = 1,"Monthly Trend by Sales","Monthly Trend by Orders")</f>
        <v>Monthly Trend by Orders</v>
      </c>
    </row>
    <row r="33" spans="2:97" x14ac:dyDescent="0.35">
      <c r="AT33" s="2"/>
      <c r="CE33" t="str">
        <v>Feb</v>
      </c>
      <c r="CF33" s="2">
        <f t="shared" si="6"/>
        <v>35</v>
      </c>
      <c r="CG33" s="2" t="e">
        <f t="shared" ref="CG33:CG43" si="7">IF(CF33=MAX($CF$32:$CF$43),CF33,NA())</f>
        <v>#N/A</v>
      </c>
      <c r="CH33" s="2" t="e">
        <f t="shared" ref="CH33:CH43" si="8">IF(CF33=MIN($CF$32:$CF$43),CF33,NA())</f>
        <v>#N/A</v>
      </c>
      <c r="CI33" t="str">
        <f t="shared" ref="CI33:CI43" si="9">IF(ABS(CF33)&gt;=1000000000,TEXT(CF33/1000000000,"0.00")&amp;"B",
IF(ABS(CF33)&gt;=1000000,TEXT(CF33/1000000,"0.00")&amp;"M",
IF(ABS(CF33)&gt;=1000,TEXT(CF33/1000,"0.00")&amp;"K",
IF(ABS(CF33)&gt;=100,TEXT(CF33/100,"0.00")&amp;"H",
TEXT(CF33,"0")))))</f>
        <v>35</v>
      </c>
    </row>
    <row r="34" spans="2:97" x14ac:dyDescent="0.35">
      <c r="CE34" t="str">
        <v>Mar</v>
      </c>
      <c r="CF34" s="2">
        <f t="shared" si="6"/>
        <v>49</v>
      </c>
      <c r="CG34" s="2" t="e">
        <f t="shared" si="7"/>
        <v>#N/A</v>
      </c>
      <c r="CH34" s="2" t="e">
        <f t="shared" si="8"/>
        <v>#N/A</v>
      </c>
      <c r="CI34" t="str">
        <f t="shared" si="9"/>
        <v>49</v>
      </c>
      <c r="CS34" s="26" t="s">
        <v>555</v>
      </c>
    </row>
    <row r="35" spans="2:97" x14ac:dyDescent="0.35">
      <c r="CE35" t="str">
        <v>Apr</v>
      </c>
      <c r="CF35" s="2">
        <f t="shared" si="6"/>
        <v>39</v>
      </c>
      <c r="CG35" s="2" t="e">
        <f t="shared" si="7"/>
        <v>#N/A</v>
      </c>
      <c r="CH35" s="2" t="e">
        <f t="shared" si="8"/>
        <v>#N/A</v>
      </c>
      <c r="CI35" t="str">
        <f t="shared" si="9"/>
        <v>39</v>
      </c>
    </row>
    <row r="36" spans="2:97" x14ac:dyDescent="0.35">
      <c r="AT36" s="19" t="s">
        <v>545</v>
      </c>
      <c r="AV36" s="19" t="s">
        <v>549</v>
      </c>
      <c r="CE36" t="str">
        <v>May</v>
      </c>
      <c r="CF36" s="2">
        <f t="shared" si="6"/>
        <v>41</v>
      </c>
      <c r="CG36" s="2" t="e">
        <f t="shared" si="7"/>
        <v>#N/A</v>
      </c>
      <c r="CH36" s="2" t="e">
        <f t="shared" si="8"/>
        <v>#N/A</v>
      </c>
      <c r="CI36" t="str">
        <f t="shared" si="9"/>
        <v>41</v>
      </c>
      <c r="CR36" s="28" t="s">
        <v>556</v>
      </c>
      <c r="CS36" s="20">
        <f>MAX(CT26:CT31)</f>
        <v>23366658910</v>
      </c>
    </row>
    <row r="37" spans="2:97" x14ac:dyDescent="0.35">
      <c r="AT37" s="20" cm="1">
        <f t="array" ref="AT37">INDEX(AT16:AT27,COUNTA(AT16:AT27))</f>
        <v>6995698666</v>
      </c>
      <c r="AU37" t="str">
        <f>IF(ABS(AT37)&gt;=1000000000,TEXT(AT37/1000000000,"₦0.00")&amp;"B",
IF(ABS(AT37)&gt;=1000000,TEXT(AT37/1000000,"₦0.00")&amp;"M",
IF(ABS(AT37)&gt;=1000,TEXT(AT37/1000,"₦0.00")&amp;"K",
IF(ABS(AT37)&gt;=100,TEXT(AT37/100,"₦0.00")&amp;"H",
TEXT(AT37,"₦0")))))</f>
        <v>₦7.00B</v>
      </c>
      <c r="AV37" s="20" cm="1">
        <f t="array" ref="AV37">INDEX(AW16:AW27,COUNTA(AW16:AW27))</f>
        <v>60</v>
      </c>
      <c r="CE37" t="str">
        <v>Jun</v>
      </c>
      <c r="CF37" s="2">
        <f t="shared" si="6"/>
        <v>26</v>
      </c>
      <c r="CG37" s="2" t="e">
        <f t="shared" si="7"/>
        <v>#N/A</v>
      </c>
      <c r="CH37" s="2">
        <f t="shared" si="8"/>
        <v>26</v>
      </c>
      <c r="CI37" t="str">
        <f t="shared" si="9"/>
        <v>26</v>
      </c>
      <c r="CR37" s="25"/>
      <c r="CS37" s="25"/>
    </row>
    <row r="38" spans="2:97" x14ac:dyDescent="0.35">
      <c r="B38" t="s">
        <v>536</v>
      </c>
      <c r="CE38" t="str">
        <v>Jul</v>
      </c>
      <c r="CF38" s="2">
        <f t="shared" si="6"/>
        <v>39</v>
      </c>
      <c r="CG38" s="2" t="e">
        <f t="shared" si="7"/>
        <v>#N/A</v>
      </c>
      <c r="CH38" s="2" t="e">
        <f t="shared" si="8"/>
        <v>#N/A</v>
      </c>
      <c r="CI38" t="str">
        <f t="shared" si="9"/>
        <v>39</v>
      </c>
      <c r="CR38" s="28" t="s">
        <v>507</v>
      </c>
      <c r="CS38" s="20">
        <f>SUM(CT26:CT31)</f>
        <v>62950791754</v>
      </c>
    </row>
    <row r="39" spans="2:97" x14ac:dyDescent="0.35">
      <c r="B39" s="4">
        <v>33.024000000000001</v>
      </c>
      <c r="CE39" t="str">
        <v>Aug</v>
      </c>
      <c r="CF39" s="2">
        <f t="shared" si="6"/>
        <v>36</v>
      </c>
      <c r="CG39" s="2" t="e">
        <f t="shared" si="7"/>
        <v>#N/A</v>
      </c>
      <c r="CH39" s="2" t="e">
        <f t="shared" si="8"/>
        <v>#N/A</v>
      </c>
      <c r="CI39" t="str">
        <f t="shared" si="9"/>
        <v>36</v>
      </c>
      <c r="CR39" s="25"/>
      <c r="CS39" s="25"/>
    </row>
    <row r="40" spans="2:97" x14ac:dyDescent="0.35">
      <c r="AT40" s="19" t="s">
        <v>546</v>
      </c>
      <c r="AV40" s="19" t="s">
        <v>546</v>
      </c>
      <c r="CE40" t="str">
        <v>Sep</v>
      </c>
      <c r="CF40" s="2">
        <f t="shared" si="6"/>
        <v>48</v>
      </c>
      <c r="CG40" s="2" t="e">
        <f t="shared" si="7"/>
        <v>#N/A</v>
      </c>
      <c r="CH40" s="2" t="e">
        <f t="shared" si="8"/>
        <v>#N/A</v>
      </c>
      <c r="CI40" t="str">
        <f t="shared" si="9"/>
        <v>48</v>
      </c>
      <c r="CR40" s="25"/>
      <c r="CS40" s="25"/>
    </row>
    <row r="41" spans="2:97" x14ac:dyDescent="0.35">
      <c r="B41" t="str" cm="1">
        <f t="array" ref="B41:B42">B38:B39</f>
        <v>Average of Delivery_Days</v>
      </c>
      <c r="AT41" s="21">
        <f>(AT37-AT32)/AT32</f>
        <v>1.24091879045843E-2</v>
      </c>
      <c r="AV41" s="22">
        <f>(AV37-AV32)/AV32</f>
        <v>0.2</v>
      </c>
      <c r="CE41" t="str">
        <v>Oct</v>
      </c>
      <c r="CF41" s="2">
        <f t="shared" si="6"/>
        <v>46</v>
      </c>
      <c r="CG41" s="2" t="e">
        <f t="shared" si="7"/>
        <v>#N/A</v>
      </c>
      <c r="CH41" s="2" t="e">
        <f t="shared" si="8"/>
        <v>#N/A</v>
      </c>
      <c r="CI41" t="str">
        <f t="shared" si="9"/>
        <v>46</v>
      </c>
      <c r="CR41" s="28" t="s">
        <v>557</v>
      </c>
      <c r="CS41" s="22">
        <f>CS36/CS38</f>
        <v>0.37118927751238717</v>
      </c>
    </row>
    <row r="42" spans="2:97" x14ac:dyDescent="0.35">
      <c r="B42" s="17">
        <v>33.024000000000001</v>
      </c>
      <c r="CE42" t="str">
        <v>Nov</v>
      </c>
      <c r="CF42" s="2">
        <f t="shared" si="6"/>
        <v>50</v>
      </c>
      <c r="CG42" s="2" t="e">
        <f t="shared" si="7"/>
        <v>#N/A</v>
      </c>
      <c r="CH42" s="2" t="e">
        <f t="shared" si="8"/>
        <v>#N/A</v>
      </c>
      <c r="CI42" t="str">
        <f t="shared" si="9"/>
        <v>50</v>
      </c>
      <c r="CR42" s="25"/>
      <c r="CS42" s="25"/>
    </row>
    <row r="43" spans="2:97" x14ac:dyDescent="0.35">
      <c r="CE43" t="str">
        <v>Dec</v>
      </c>
      <c r="CF43" s="2">
        <f t="shared" si="6"/>
        <v>60</v>
      </c>
      <c r="CG43" s="2">
        <f t="shared" si="7"/>
        <v>60</v>
      </c>
      <c r="CH43" s="2" t="e">
        <f t="shared" si="8"/>
        <v>#N/A</v>
      </c>
      <c r="CI43" t="str">
        <f t="shared" si="9"/>
        <v>60</v>
      </c>
      <c r="CR43" s="25"/>
      <c r="CS43" s="25"/>
    </row>
    <row r="44" spans="2:97" x14ac:dyDescent="0.35">
      <c r="AT44" t="str">
        <f>IF(AT41&gt;0,"▲ " &amp; TEXT(AT41,"0.00%"),"▼ " &amp; TEXT(AT41,"0.00%"))</f>
        <v>▲ 1.24%</v>
      </c>
      <c r="AV44" t="str">
        <f>IF(AV41&gt;0,"▲ " &amp; TEXT(AV41,"0.00%"),"▼ " &amp; TEXT(AV41,"0.00%"))</f>
        <v>▲ 20.00%</v>
      </c>
      <c r="CG44" s="2"/>
      <c r="CH44" s="2"/>
      <c r="CR44" s="28" t="s">
        <v>558</v>
      </c>
      <c r="CS44" s="25" t="str">
        <f>_xlfn.XLOOKUP(CS36,CT15:CT20,CS15:CS20)</f>
        <v>Laptop</v>
      </c>
    </row>
    <row r="45" spans="2:97" x14ac:dyDescent="0.35">
      <c r="AT45" t="str">
        <f>CONCATENATE("vs Previous Month "," (",AU32,")")</f>
        <v>vs Previous Month  (₦6.91B)</v>
      </c>
      <c r="AV45" t="str">
        <f>CONCATENATE("vs Previous Month "," (",AV32,")")</f>
        <v>vs Previous Month  (50)</v>
      </c>
    </row>
    <row r="46" spans="2:97" x14ac:dyDescent="0.35">
      <c r="CR46" s="28" t="s">
        <v>559</v>
      </c>
      <c r="CS46" s="22">
        <f>1-CS41</f>
        <v>0.62881072248761283</v>
      </c>
    </row>
    <row r="48" spans="2:97" x14ac:dyDescent="0.35">
      <c r="C48" s="4"/>
      <c r="AT48" t="str">
        <f>CONCATENATE("Current Month "," (",AU37,")")</f>
        <v>Current Month  (₦7.00B)</v>
      </c>
      <c r="AV48" t="str">
        <f>CONCATENATE("Current Month "," (",AV37,")")</f>
        <v>Current Month  (60)</v>
      </c>
    </row>
    <row r="49" spans="97:97" x14ac:dyDescent="0.35">
      <c r="CS49" t="str">
        <f>CS44 &amp; " contributed " &amp; TEXT(CS41,"0.0%") &amp; " of total products sales, while all other products collectively accounted for " &amp; TEXT(CS46,"0.0%") &amp; ", indicating a strong reliance on this product for revenue concentration"</f>
        <v>Laptop contributed 37.1% of total products sales, while all other products collectively accounted for 62.9%, indicating a strong reliance on this product for revenue concentration</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2" id="{F24A9062-0B3B-485A-98C5-87D835660F10}">
            <x14:iconSet iconSet="3Triangles">
              <x14:cfvo type="percent">
                <xm:f>0</xm:f>
              </x14:cfvo>
              <x14:cfvo type="num">
                <xm:f>0</xm:f>
              </x14:cfvo>
              <x14:cfvo type="num">
                <xm:f>0</xm:f>
              </x14:cfvo>
            </x14:iconSet>
          </x14:cfRule>
          <xm:sqref>AU16:AU27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1EDC-0702-45D7-B99D-1220323DD8B7}">
  <dimension ref="A1"/>
  <sheetViews>
    <sheetView showGridLines="0" zoomScale="77" workbookViewId="0">
      <selection activeCell="T12" sqref="T12"/>
    </sheetView>
  </sheetViews>
  <sheetFormatPr defaultRowHeight="14.5" x14ac:dyDescent="0.35"/>
  <cols>
    <col min="1" max="16384" width="8.7265625" style="16"/>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Option Button 1">
              <controlPr defaultSize="0" autoFill="0" autoLine="0" autoPict="0">
                <anchor moveWithCells="1">
                  <from>
                    <xdr:col>3</xdr:col>
                    <xdr:colOff>247650</xdr:colOff>
                    <xdr:row>12</xdr:row>
                    <xdr:rowOff>76200</xdr:rowOff>
                  </from>
                  <to>
                    <xdr:col>4</xdr:col>
                    <xdr:colOff>196850</xdr:colOff>
                    <xdr:row>13</xdr:row>
                    <xdr:rowOff>127000</xdr:rowOff>
                  </to>
                </anchor>
              </controlPr>
            </control>
          </mc:Choice>
        </mc:AlternateContent>
        <mc:AlternateContent xmlns:mc="http://schemas.openxmlformats.org/markup-compatibility/2006">
          <mc:Choice Requires="x14">
            <control shapeId="3074" r:id="rId4" name="Option Button 2">
              <controlPr defaultSize="0" autoFill="0" autoLine="0" autoPict="0">
                <anchor moveWithCells="1">
                  <from>
                    <xdr:col>8</xdr:col>
                    <xdr:colOff>279400</xdr:colOff>
                    <xdr:row>12</xdr:row>
                    <xdr:rowOff>88900</xdr:rowOff>
                  </from>
                  <to>
                    <xdr:col>9</xdr:col>
                    <xdr:colOff>469900</xdr:colOff>
                    <xdr:row>13</xdr:row>
                    <xdr:rowOff>171450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Dataset</vt:lpstr>
      <vt:lpstr>Cleaned Dataset</vt:lpstr>
      <vt:lpstr>Statistics</vt:lpstr>
      <vt:lpstr>Dashboard View</vt:lpstr>
      <vt:lpstr>btn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Ayibabrakemi Joecliff</dc:creator>
  <cp:lastModifiedBy>Ayibabrakemi Joecliff</cp:lastModifiedBy>
  <dcterms:created xsi:type="dcterms:W3CDTF">2026-07-13T16:39:11Z</dcterms:created>
  <dcterms:modified xsi:type="dcterms:W3CDTF">2026-09-14T12:16:33Z</dcterms:modified>
</cp:coreProperties>
</file>